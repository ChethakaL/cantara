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Y 2022" sheetId="1" state="visible" r:id="rId3"/>
    <sheet name="FY 2023" sheetId="2" state="visible" r:id="rId4"/>
    <sheet name="FY 2024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<sst xmlns="http://schemas.openxmlformats.org/spreadsheetml/2006/main" count="435" uniqueCount="173">
  <si>
    <t xml:space="preserve">Harborview Pet Resort, LLC</t>
  </si>
  <si>
    <t xml:space="preserve">Profit and Loss — Monthly Detail</t>
  </si>
  <si>
    <t xml:space="preserve">January 2022 — December 2022  |  GL Codes Opened</t>
  </si>
  <si>
    <t xml:space="preserve">GL Code</t>
  </si>
  <si>
    <t xml:space="preserve">Account Name</t>
  </si>
  <si>
    <t xml:space="preserve">Jan-2022</t>
  </si>
  <si>
    <t xml:space="preserve">Feb-2022</t>
  </si>
  <si>
    <t xml:space="preserve">Mar-2022</t>
  </si>
  <si>
    <t xml:space="preserve">Apr-2022</t>
  </si>
  <si>
    <t xml:space="preserve">May-2022</t>
  </si>
  <si>
    <t xml:space="preserve">Jun-2022</t>
  </si>
  <si>
    <t xml:space="preserve">Jul-2022</t>
  </si>
  <si>
    <t xml:space="preserve">Aug-2022</t>
  </si>
  <si>
    <t xml:space="preserve">Sep-2022</t>
  </si>
  <si>
    <t xml:space="preserve">Oct-2022</t>
  </si>
  <si>
    <t xml:space="preserve">Nov-2022</t>
  </si>
  <si>
    <t xml:space="preserve">Dec-2022</t>
  </si>
  <si>
    <t xml:space="preserve">FY 2022 Total</t>
  </si>
  <si>
    <t xml:space="preserve">INCOME</t>
  </si>
  <si>
    <t xml:space="preserve">4010</t>
  </si>
  <si>
    <t xml:space="preserve">Discounts</t>
  </si>
  <si>
    <t xml:space="preserve">4020</t>
  </si>
  <si>
    <t xml:space="preserve">Member Fees</t>
  </si>
  <si>
    <t xml:space="preserve">4100</t>
  </si>
  <si>
    <t xml:space="preserve">Retail Sales</t>
  </si>
  <si>
    <t xml:space="preserve">Services</t>
  </si>
  <si>
    <t xml:space="preserve">4200</t>
  </si>
  <si>
    <t xml:space="preserve">    Boarding</t>
  </si>
  <si>
    <t xml:space="preserve">4210</t>
  </si>
  <si>
    <t xml:space="preserve">    Daycare</t>
  </si>
  <si>
    <t xml:space="preserve">4300</t>
  </si>
  <si>
    <t xml:space="preserve">    Grooming - Bathing</t>
  </si>
  <si>
    <t xml:space="preserve">4310</t>
  </si>
  <si>
    <t xml:space="preserve">    Grooming - ProGroom</t>
  </si>
  <si>
    <t xml:space="preserve">4500</t>
  </si>
  <si>
    <t xml:space="preserve">Tips</t>
  </si>
  <si>
    <t xml:space="preserve">Total Income</t>
  </si>
  <si>
    <t xml:space="preserve">COST OF GOODS SOLD</t>
  </si>
  <si>
    <t xml:space="preserve">5000</t>
  </si>
  <si>
    <t xml:space="preserve">Retail Cost of Goods Sold</t>
  </si>
  <si>
    <t xml:space="preserve">Total Cost of Goods Sold</t>
  </si>
  <si>
    <t xml:space="preserve">Gross Profit</t>
  </si>
  <si>
    <t xml:space="preserve">EXPENSES</t>
  </si>
  <si>
    <t xml:space="preserve">Payroll Expenses</t>
  </si>
  <si>
    <t xml:space="preserve">6000</t>
  </si>
  <si>
    <t xml:space="preserve">    Groom Commission</t>
  </si>
  <si>
    <t xml:space="preserve">6010</t>
  </si>
  <si>
    <t xml:space="preserve">    Staff Wages</t>
  </si>
  <si>
    <t xml:space="preserve">6011</t>
  </si>
  <si>
    <t xml:space="preserve">    Sick Pay</t>
  </si>
  <si>
    <t xml:space="preserve">6020</t>
  </si>
  <si>
    <t xml:space="preserve">    Officer Wages</t>
  </si>
  <si>
    <t xml:space="preserve">6021</t>
  </si>
  <si>
    <t xml:space="preserve">    S-Corp Health Insurance</t>
  </si>
  <si>
    <t xml:space="preserve">6030</t>
  </si>
  <si>
    <t xml:space="preserve">    Manager Salary</t>
  </si>
  <si>
    <t xml:space="preserve">6031</t>
  </si>
  <si>
    <t xml:space="preserve">    Admin / Front Desk</t>
  </si>
  <si>
    <t xml:space="preserve">6040</t>
  </si>
  <si>
    <t xml:space="preserve">    Payroll Taxes</t>
  </si>
  <si>
    <t xml:space="preserve">6041</t>
  </si>
  <si>
    <t xml:space="preserve">    SIMPLE IRA</t>
  </si>
  <si>
    <t xml:space="preserve">Rent</t>
  </si>
  <si>
    <t xml:space="preserve">6100</t>
  </si>
  <si>
    <t xml:space="preserve">    Lease</t>
  </si>
  <si>
    <t xml:space="preserve">6101</t>
  </si>
  <si>
    <t xml:space="preserve">    CAM Charges</t>
  </si>
  <si>
    <t xml:space="preserve">6102</t>
  </si>
  <si>
    <t xml:space="preserve">    Mgmt Fee</t>
  </si>
  <si>
    <t xml:space="preserve">Utilities</t>
  </si>
  <si>
    <t xml:space="preserve">6200</t>
  </si>
  <si>
    <t xml:space="preserve">    Electric</t>
  </si>
  <si>
    <t xml:space="preserve">6201</t>
  </si>
  <si>
    <t xml:space="preserve">    Gas</t>
  </si>
  <si>
    <t xml:space="preserve">6202</t>
  </si>
  <si>
    <t xml:space="preserve">    Water &amp; Sewer</t>
  </si>
  <si>
    <t xml:space="preserve">6203</t>
  </si>
  <si>
    <t xml:space="preserve">    Internet &amp; Phone</t>
  </si>
  <si>
    <t xml:space="preserve">Advertising</t>
  </si>
  <si>
    <t xml:space="preserve">6300</t>
  </si>
  <si>
    <t xml:space="preserve">    Google Ads</t>
  </si>
  <si>
    <t xml:space="preserve">6301</t>
  </si>
  <si>
    <t xml:space="preserve">    Social Media Marketing</t>
  </si>
  <si>
    <t xml:space="preserve">6302</t>
  </si>
  <si>
    <t xml:space="preserve">    Direct Mail</t>
  </si>
  <si>
    <t xml:space="preserve">6400</t>
  </si>
  <si>
    <t xml:space="preserve">Insurance</t>
  </si>
  <si>
    <t xml:space="preserve">Repairs &amp; Maintenance</t>
  </si>
  <si>
    <t xml:space="preserve">6500</t>
  </si>
  <si>
    <t xml:space="preserve">    Janitorial</t>
  </si>
  <si>
    <t xml:space="preserve">6501</t>
  </si>
  <si>
    <t xml:space="preserve">    Pest Control</t>
  </si>
  <si>
    <t xml:space="preserve">6502</t>
  </si>
  <si>
    <t xml:space="preserve">    Repairs</t>
  </si>
  <si>
    <t xml:space="preserve">6503</t>
  </si>
  <si>
    <t xml:space="preserve">    Waste Removal</t>
  </si>
  <si>
    <t xml:space="preserve">Supplies</t>
  </si>
  <si>
    <t xml:space="preserve">6600</t>
  </si>
  <si>
    <t xml:space="preserve">    Grooming Supplies</t>
  </si>
  <si>
    <t xml:space="preserve">6601</t>
  </si>
  <si>
    <t xml:space="preserve">    Caretaking Supplies</t>
  </si>
  <si>
    <t xml:space="preserve">6602</t>
  </si>
  <si>
    <t xml:space="preserve">    Office Supplies</t>
  </si>
  <si>
    <t xml:space="preserve">Software &amp; Technology</t>
  </si>
  <si>
    <t xml:space="preserve">6700</t>
  </si>
  <si>
    <t xml:space="preserve">    Software Subscriptions</t>
  </si>
  <si>
    <t xml:space="preserve">6701</t>
  </si>
  <si>
    <t xml:space="preserve">    POS System</t>
  </si>
  <si>
    <t xml:space="preserve">Legal &amp; Professional Fees</t>
  </si>
  <si>
    <t xml:space="preserve">6800</t>
  </si>
  <si>
    <t xml:space="preserve">    Accounting</t>
  </si>
  <si>
    <t xml:space="preserve">6801</t>
  </si>
  <si>
    <t xml:space="preserve">    Legal Fees</t>
  </si>
  <si>
    <t xml:space="preserve">6802</t>
  </si>
  <si>
    <t xml:space="preserve">    Payroll Service</t>
  </si>
  <si>
    <t xml:space="preserve">Credit Card Processing</t>
  </si>
  <si>
    <t xml:space="preserve">6900</t>
  </si>
  <si>
    <t xml:space="preserve">    Square Processing Fees</t>
  </si>
  <si>
    <t xml:space="preserve">6901</t>
  </si>
  <si>
    <t xml:space="preserve">    Bank Charges</t>
  </si>
  <si>
    <t xml:space="preserve">7000</t>
  </si>
  <si>
    <t xml:space="preserve">Emergency Vet</t>
  </si>
  <si>
    <t xml:space="preserve">Meals and Entertainment</t>
  </si>
  <si>
    <t xml:space="preserve">7100</t>
  </si>
  <si>
    <t xml:space="preserve">    Dining w Staff</t>
  </si>
  <si>
    <t xml:space="preserve">7101</t>
  </si>
  <si>
    <t xml:space="preserve">    Dining w Clients</t>
  </si>
  <si>
    <t xml:space="preserve">7200</t>
  </si>
  <si>
    <t xml:space="preserve">Travel</t>
  </si>
  <si>
    <t xml:space="preserve">7300</t>
  </si>
  <si>
    <t xml:space="preserve">Donations</t>
  </si>
  <si>
    <t xml:space="preserve">7301</t>
  </si>
  <si>
    <t xml:space="preserve">Gifts Given</t>
  </si>
  <si>
    <t xml:space="preserve">7400</t>
  </si>
  <si>
    <t xml:space="preserve">Auto Expense</t>
  </si>
  <si>
    <t xml:space="preserve">7401</t>
  </si>
  <si>
    <t xml:space="preserve">Personal Cell Phone</t>
  </si>
  <si>
    <t xml:space="preserve">7500</t>
  </si>
  <si>
    <t xml:space="preserve">Depreciation Expense</t>
  </si>
  <si>
    <t xml:space="preserve">7600</t>
  </si>
  <si>
    <t xml:space="preserve">Interest Expense</t>
  </si>
  <si>
    <t xml:space="preserve">7900</t>
  </si>
  <si>
    <t xml:space="preserve">Miscellaneous</t>
  </si>
  <si>
    <t xml:space="preserve">Total Expenses</t>
  </si>
  <si>
    <t xml:space="preserve">Net Income</t>
  </si>
  <si>
    <t xml:space="preserve">January 2023 — December 2023  |  GL Codes Opened</t>
  </si>
  <si>
    <t xml:space="preserve">Jan-2023</t>
  </si>
  <si>
    <t xml:space="preserve">Feb-2023</t>
  </si>
  <si>
    <t xml:space="preserve">Mar-2023</t>
  </si>
  <si>
    <t xml:space="preserve">Apr-2023</t>
  </si>
  <si>
    <t xml:space="preserve">May-2023</t>
  </si>
  <si>
    <t xml:space="preserve">Jun-2023</t>
  </si>
  <si>
    <t xml:space="preserve">Jul-2023</t>
  </si>
  <si>
    <t xml:space="preserve">Aug-2023</t>
  </si>
  <si>
    <t xml:space="preserve">Sep-2023</t>
  </si>
  <si>
    <t xml:space="preserve">Oct-2023</t>
  </si>
  <si>
    <t xml:space="preserve">Nov-2023</t>
  </si>
  <si>
    <t xml:space="preserve">Dec-2023</t>
  </si>
  <si>
    <t xml:space="preserve">FY 2023 Total</t>
  </si>
  <si>
    <t xml:space="preserve">January 2024 — December 2024  |  GL Codes Opened</t>
  </si>
  <si>
    <t xml:space="preserve">Jan-2024</t>
  </si>
  <si>
    <t xml:space="preserve">Feb-2024</t>
  </si>
  <si>
    <t xml:space="preserve">Mar-2024</t>
  </si>
  <si>
    <t xml:space="preserve">Apr-2024</t>
  </si>
  <si>
    <t xml:space="preserve">May-2024</t>
  </si>
  <si>
    <t xml:space="preserve">Jun-2024</t>
  </si>
  <si>
    <t xml:space="preserve">Jul-2024</t>
  </si>
  <si>
    <t xml:space="preserve">Aug-2024</t>
  </si>
  <si>
    <t xml:space="preserve">Sep-2024</t>
  </si>
  <si>
    <t xml:space="preserve">Oct-2024</t>
  </si>
  <si>
    <t xml:space="preserve">Nov-2024</t>
  </si>
  <si>
    <t xml:space="preserve">Dec-2024</t>
  </si>
  <si>
    <t xml:space="preserve">FY 2024 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</si>
</sst>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0"/>
      <charset val="1"/>
    </font>
    <font>
      <sz val="11"/>
      <name val="Calibri"/>
      <family val="0"/>
      <charset val="1"/>
    </font>
    <font>
      <i val="true"/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9"/>
      <color rgb="FF666666"/>
      <name val="Calibri"/>
      <family val="0"/>
      <charset val="1"/>
    </font>
    <font>
      <sz val="10"/>
      <name val="Calibri"/>
      <family val="0"/>
      <charset val="1"/>
    </font>
    <font>
      <sz val="10"/>
      <color rgb="FF0000FF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D9E1F2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FFFFFF"/>
      </bottom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8"/>
    <col collapsed="false" customWidth="true" hidden="false" outlineLevel="0" max="14" min="3" style="1" width="12"/>
    <col collapsed="false" customWidth="true" hidden="false" outlineLevel="0" max="15" min="15" style="1" width="14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</row>
    <row r="6" customFormat="false" ht="15" hidden="false" customHeight="false" outlineLevel="0" collapsed="false">
      <c r="A6" s="6"/>
      <c r="B6" s="6" t="s">
        <v>18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15" hidden="false" customHeight="false" outlineLevel="0" collapsed="false">
      <c r="A7" s="7" t="s">
        <v>19</v>
      </c>
      <c r="B7" s="8" t="s">
        <v>20</v>
      </c>
      <c r="C7" s="9" t="n">
        <v>-525</v>
      </c>
      <c r="D7" s="9" t="n">
        <v>-496</v>
      </c>
      <c r="E7" s="9" t="n">
        <v>-581</v>
      </c>
      <c r="F7" s="9" t="n">
        <v>-734</v>
      </c>
      <c r="G7" s="9" t="n">
        <v>-782</v>
      </c>
      <c r="H7" s="9" t="n">
        <v>-1056</v>
      </c>
      <c r="I7" s="9" t="n">
        <v>-961</v>
      </c>
      <c r="J7" s="9" t="n">
        <v>-897</v>
      </c>
      <c r="K7" s="9" t="n">
        <v>-681</v>
      </c>
      <c r="L7" s="9" t="n">
        <v>-650</v>
      </c>
      <c r="M7" s="9" t="n">
        <v>-590</v>
      </c>
      <c r="N7" s="9" t="n">
        <v>-750</v>
      </c>
      <c r="O7" s="10" t="n">
        <f aca="false">SUM(C7:N7)</f>
        <v>-8703</v>
      </c>
    </row>
    <row r="8" customFormat="false" ht="15" hidden="false" customHeight="false" outlineLevel="0" collapsed="false">
      <c r="A8" s="7" t="s">
        <v>21</v>
      </c>
      <c r="B8" s="8" t="s">
        <v>22</v>
      </c>
      <c r="C8" s="9" t="n">
        <v>764</v>
      </c>
      <c r="D8" s="9" t="n">
        <v>819</v>
      </c>
      <c r="E8" s="9" t="n">
        <v>762</v>
      </c>
      <c r="F8" s="9" t="n">
        <v>867</v>
      </c>
      <c r="G8" s="9" t="n">
        <v>831</v>
      </c>
      <c r="H8" s="9" t="n">
        <v>766</v>
      </c>
      <c r="I8" s="9" t="n">
        <v>817</v>
      </c>
      <c r="J8" s="9" t="n">
        <v>867</v>
      </c>
      <c r="K8" s="9" t="n">
        <v>833</v>
      </c>
      <c r="L8" s="9" t="n">
        <v>768</v>
      </c>
      <c r="M8" s="9" t="n">
        <v>891</v>
      </c>
      <c r="N8" s="9" t="n">
        <v>758</v>
      </c>
      <c r="O8" s="10" t="n">
        <f aca="false">SUM(C8:N8)</f>
        <v>9743</v>
      </c>
    </row>
    <row r="9" customFormat="false" ht="15" hidden="false" customHeight="false" outlineLevel="0" collapsed="false">
      <c r="A9" s="7" t="s">
        <v>23</v>
      </c>
      <c r="B9" s="8" t="s">
        <v>24</v>
      </c>
      <c r="C9" s="9" t="n">
        <v>1837</v>
      </c>
      <c r="D9" s="9" t="n">
        <v>1646</v>
      </c>
      <c r="E9" s="9" t="n">
        <v>2030</v>
      </c>
      <c r="F9" s="9" t="n">
        <v>2259</v>
      </c>
      <c r="G9" s="9" t="n">
        <v>2805</v>
      </c>
      <c r="H9" s="9" t="n">
        <v>3146</v>
      </c>
      <c r="I9" s="9" t="n">
        <v>3494</v>
      </c>
      <c r="J9" s="9" t="n">
        <v>3246</v>
      </c>
      <c r="K9" s="9" t="n">
        <v>2439</v>
      </c>
      <c r="L9" s="9" t="n">
        <v>1986</v>
      </c>
      <c r="M9" s="9" t="n">
        <v>1848</v>
      </c>
      <c r="N9" s="9" t="n">
        <v>4083</v>
      </c>
      <c r="O9" s="10" t="n">
        <f aca="false">SUM(C9:N9)</f>
        <v>30819</v>
      </c>
    </row>
    <row r="10" customFormat="false" ht="15" hidden="false" customHeight="false" outlineLevel="0" collapsed="false">
      <c r="A10" s="6"/>
      <c r="B10" s="6" t="s">
        <v>25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customFormat="false" ht="15" hidden="false" customHeight="false" outlineLevel="0" collapsed="false">
      <c r="A11" s="7" t="s">
        <v>26</v>
      </c>
      <c r="B11" s="8" t="s">
        <v>27</v>
      </c>
      <c r="C11" s="9" t="n">
        <v>27996</v>
      </c>
      <c r="D11" s="9" t="n">
        <v>24655</v>
      </c>
      <c r="E11" s="9" t="n">
        <v>31864</v>
      </c>
      <c r="F11" s="9" t="n">
        <v>35514</v>
      </c>
      <c r="G11" s="9" t="n">
        <v>43496</v>
      </c>
      <c r="H11" s="9" t="n">
        <v>52758</v>
      </c>
      <c r="I11" s="9" t="n">
        <v>56681</v>
      </c>
      <c r="J11" s="9" t="n">
        <v>50282</v>
      </c>
      <c r="K11" s="9" t="n">
        <v>37494</v>
      </c>
      <c r="L11" s="9" t="n">
        <v>31973</v>
      </c>
      <c r="M11" s="9" t="n">
        <v>28161</v>
      </c>
      <c r="N11" s="9" t="n">
        <v>35563</v>
      </c>
      <c r="O11" s="10" t="n">
        <f aca="false">SUM(C11:N11)</f>
        <v>456437</v>
      </c>
    </row>
    <row r="12" customFormat="false" ht="15" hidden="false" customHeight="false" outlineLevel="0" collapsed="false">
      <c r="A12" s="7" t="s">
        <v>28</v>
      </c>
      <c r="B12" s="8" t="s">
        <v>29</v>
      </c>
      <c r="C12" s="9" t="n">
        <v>17891</v>
      </c>
      <c r="D12" s="9" t="n">
        <v>16298</v>
      </c>
      <c r="E12" s="9" t="n">
        <v>20206</v>
      </c>
      <c r="F12" s="9" t="n">
        <v>22274</v>
      </c>
      <c r="G12" s="9" t="n">
        <v>26330</v>
      </c>
      <c r="H12" s="9" t="n">
        <v>30226</v>
      </c>
      <c r="I12" s="9" t="n">
        <v>32073</v>
      </c>
      <c r="J12" s="9" t="n">
        <v>28619</v>
      </c>
      <c r="K12" s="9" t="n">
        <v>22987</v>
      </c>
      <c r="L12" s="9" t="n">
        <v>20156</v>
      </c>
      <c r="M12" s="9" t="n">
        <v>17131</v>
      </c>
      <c r="N12" s="9" t="n">
        <v>21688</v>
      </c>
      <c r="O12" s="10" t="n">
        <f aca="false">SUM(C12:N12)</f>
        <v>275879</v>
      </c>
    </row>
    <row r="13" customFormat="false" ht="15" hidden="false" customHeight="false" outlineLevel="0" collapsed="false">
      <c r="A13" s="7" t="s">
        <v>30</v>
      </c>
      <c r="B13" s="8" t="s">
        <v>31</v>
      </c>
      <c r="C13" s="9" t="n">
        <v>8823</v>
      </c>
      <c r="D13" s="9" t="n">
        <v>8360</v>
      </c>
      <c r="E13" s="9" t="n">
        <v>10170</v>
      </c>
      <c r="F13" s="9" t="n">
        <v>10338</v>
      </c>
      <c r="G13" s="9" t="n">
        <v>11947</v>
      </c>
      <c r="H13" s="9" t="n">
        <v>12987</v>
      </c>
      <c r="I13" s="9" t="n">
        <v>13707</v>
      </c>
      <c r="J13" s="9" t="n">
        <v>12318</v>
      </c>
      <c r="K13" s="9" t="n">
        <v>10400</v>
      </c>
      <c r="L13" s="9" t="n">
        <v>9603</v>
      </c>
      <c r="M13" s="9" t="n">
        <v>8359</v>
      </c>
      <c r="N13" s="9" t="n">
        <v>10852</v>
      </c>
      <c r="O13" s="10" t="n">
        <f aca="false">SUM(C13:N13)</f>
        <v>127864</v>
      </c>
    </row>
    <row r="14" customFormat="false" ht="15" hidden="false" customHeight="false" outlineLevel="0" collapsed="false">
      <c r="A14" s="7" t="s">
        <v>32</v>
      </c>
      <c r="B14" s="8" t="s">
        <v>33</v>
      </c>
      <c r="C14" s="9" t="n">
        <v>13734</v>
      </c>
      <c r="D14" s="9" t="n">
        <v>13238</v>
      </c>
      <c r="E14" s="9" t="n">
        <v>15335</v>
      </c>
      <c r="F14" s="9" t="n">
        <v>16001</v>
      </c>
      <c r="G14" s="9" t="n">
        <v>17913</v>
      </c>
      <c r="H14" s="9" t="n">
        <v>19876</v>
      </c>
      <c r="I14" s="9" t="n">
        <v>20170</v>
      </c>
      <c r="J14" s="9" t="n">
        <v>18575</v>
      </c>
      <c r="K14" s="9" t="n">
        <v>15993</v>
      </c>
      <c r="L14" s="9" t="n">
        <v>14365</v>
      </c>
      <c r="M14" s="9" t="n">
        <v>13176</v>
      </c>
      <c r="N14" s="9" t="n">
        <v>16238</v>
      </c>
      <c r="O14" s="10" t="n">
        <f aca="false">SUM(C14:N14)</f>
        <v>194614</v>
      </c>
    </row>
    <row r="15" customFormat="false" ht="15" hidden="false" customHeight="false" outlineLevel="0" collapsed="false">
      <c r="A15" s="7" t="s">
        <v>34</v>
      </c>
      <c r="B15" s="8" t="s">
        <v>35</v>
      </c>
      <c r="C15" s="9" t="n">
        <v>2690</v>
      </c>
      <c r="D15" s="9" t="n">
        <v>2582</v>
      </c>
      <c r="E15" s="9" t="n">
        <v>2896</v>
      </c>
      <c r="F15" s="9" t="n">
        <v>3192</v>
      </c>
      <c r="G15" s="9" t="n">
        <v>3513</v>
      </c>
      <c r="H15" s="9" t="n">
        <v>3902</v>
      </c>
      <c r="I15" s="9" t="n">
        <v>4146</v>
      </c>
      <c r="J15" s="9" t="n">
        <v>3704</v>
      </c>
      <c r="K15" s="9" t="n">
        <v>3314</v>
      </c>
      <c r="L15" s="9" t="n">
        <v>3003</v>
      </c>
      <c r="M15" s="9" t="n">
        <v>2687</v>
      </c>
      <c r="N15" s="9" t="n">
        <v>3408</v>
      </c>
      <c r="O15" s="10" t="n">
        <f aca="false">SUM(C15:N15)</f>
        <v>39037</v>
      </c>
    </row>
    <row r="16" customFormat="false" ht="15" hidden="false" customHeight="false" outlineLevel="0" collapsed="false">
      <c r="B16" s="11" t="s">
        <v>36</v>
      </c>
      <c r="C16" s="12" t="n">
        <f aca="false">C7+C8+C9+C11+C12+C13+C14+C15</f>
        <v>73210</v>
      </c>
      <c r="D16" s="12" t="n">
        <f aca="false">D7+D8+D9+D11+D12+D13+D14+D15</f>
        <v>67102</v>
      </c>
      <c r="E16" s="12" t="n">
        <f aca="false">E7+E8+E9+E11+E12+E13+E14+E15</f>
        <v>82682</v>
      </c>
      <c r="F16" s="12" t="n">
        <f aca="false">F7+F8+F9+F11+F12+F13+F14+F15</f>
        <v>89711</v>
      </c>
      <c r="G16" s="12" t="n">
        <f aca="false">G7+G8+G9+G11+G12+G13+G14+G15</f>
        <v>106053</v>
      </c>
      <c r="H16" s="12" t="n">
        <f aca="false">H7+H8+H9+H11+H12+H13+H14+H15</f>
        <v>122605</v>
      </c>
      <c r="I16" s="12" t="n">
        <f aca="false">I7+I8+I9+I11+I12+I13+I14+I15</f>
        <v>130127</v>
      </c>
      <c r="J16" s="12" t="n">
        <f aca="false">J7+J8+J9+J11+J12+J13+J14+J15</f>
        <v>116714</v>
      </c>
      <c r="K16" s="12" t="n">
        <f aca="false">K7+K8+K9+K11+K12+K13+K14+K15</f>
        <v>92779</v>
      </c>
      <c r="L16" s="12" t="n">
        <f aca="false">L7+L8+L9+L11+L12+L13+L14+L15</f>
        <v>81204</v>
      </c>
      <c r="M16" s="12" t="n">
        <f aca="false">M7+M8+M9+M11+M12+M13+M14+M15</f>
        <v>71663</v>
      </c>
      <c r="N16" s="12" t="n">
        <f aca="false">N7+N8+N9+N11+N12+N13+N14+N15</f>
        <v>91840</v>
      </c>
      <c r="O16" s="12" t="n">
        <f aca="false">O7+O8+O9+O11+O12+O13+O14+O15</f>
        <v>1125690</v>
      </c>
    </row>
    <row r="17" customFormat="false" ht="15" hidden="false" customHeight="false" outlineLevel="0" collapsed="false">
      <c r="A17" s="6"/>
      <c r="B17" s="6" t="s">
        <v>37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customFormat="false" ht="15" hidden="false" customHeight="false" outlineLevel="0" collapsed="false">
      <c r="A18" s="7" t="s">
        <v>38</v>
      </c>
      <c r="B18" s="8" t="s">
        <v>39</v>
      </c>
      <c r="C18" s="9" t="n">
        <v>952</v>
      </c>
      <c r="D18" s="9" t="n">
        <v>833</v>
      </c>
      <c r="E18" s="9" t="n">
        <v>1041</v>
      </c>
      <c r="F18" s="9" t="n">
        <v>1137</v>
      </c>
      <c r="G18" s="9" t="n">
        <v>1488</v>
      </c>
      <c r="H18" s="9" t="n">
        <v>1652</v>
      </c>
      <c r="I18" s="9" t="n">
        <v>1847</v>
      </c>
      <c r="J18" s="9" t="n">
        <v>1670</v>
      </c>
      <c r="K18" s="9" t="n">
        <v>1264</v>
      </c>
      <c r="L18" s="9" t="n">
        <v>1028</v>
      </c>
      <c r="M18" s="9" t="n">
        <v>913</v>
      </c>
      <c r="N18" s="9" t="n">
        <v>2207</v>
      </c>
      <c r="O18" s="10" t="n">
        <f aca="false">SUM(C18:N18)</f>
        <v>16032</v>
      </c>
    </row>
    <row r="19" customFormat="false" ht="15" hidden="false" customHeight="false" outlineLevel="0" collapsed="false">
      <c r="B19" s="11" t="s">
        <v>40</v>
      </c>
      <c r="C19" s="12" t="n">
        <f aca="false">C18</f>
        <v>952</v>
      </c>
      <c r="D19" s="12" t="n">
        <f aca="false">D18</f>
        <v>833</v>
      </c>
      <c r="E19" s="12" t="n">
        <f aca="false">E18</f>
        <v>1041</v>
      </c>
      <c r="F19" s="12" t="n">
        <f aca="false">F18</f>
        <v>1137</v>
      </c>
      <c r="G19" s="12" t="n">
        <f aca="false">G18</f>
        <v>1488</v>
      </c>
      <c r="H19" s="12" t="n">
        <f aca="false">H18</f>
        <v>1652</v>
      </c>
      <c r="I19" s="12" t="n">
        <f aca="false">I18</f>
        <v>1847</v>
      </c>
      <c r="J19" s="12" t="n">
        <f aca="false">J18</f>
        <v>1670</v>
      </c>
      <c r="K19" s="12" t="n">
        <f aca="false">K18</f>
        <v>1264</v>
      </c>
      <c r="L19" s="12" t="n">
        <f aca="false">L18</f>
        <v>1028</v>
      </c>
      <c r="M19" s="12" t="n">
        <f aca="false">M18</f>
        <v>913</v>
      </c>
      <c r="N19" s="12" t="n">
        <f aca="false">N18</f>
        <v>2207</v>
      </c>
      <c r="O19" s="12" t="n">
        <f aca="false">O18</f>
        <v>16032</v>
      </c>
    </row>
    <row r="20" customFormat="false" ht="15" hidden="false" customHeight="false" outlineLevel="0" collapsed="false">
      <c r="B20" s="11" t="s">
        <v>41</v>
      </c>
      <c r="C20" s="12" t="n">
        <f aca="false">C16-C19</f>
        <v>72258</v>
      </c>
      <c r="D20" s="12" t="n">
        <f aca="false">D16-D19</f>
        <v>66269</v>
      </c>
      <c r="E20" s="12" t="n">
        <f aca="false">E16-E19</f>
        <v>81641</v>
      </c>
      <c r="F20" s="12" t="n">
        <f aca="false">F16-F19</f>
        <v>88574</v>
      </c>
      <c r="G20" s="12" t="n">
        <f aca="false">G16-G19</f>
        <v>104565</v>
      </c>
      <c r="H20" s="12" t="n">
        <f aca="false">H16-H19</f>
        <v>120953</v>
      </c>
      <c r="I20" s="12" t="n">
        <f aca="false">I16-I19</f>
        <v>128280</v>
      </c>
      <c r="J20" s="12" t="n">
        <f aca="false">J16-J19</f>
        <v>115044</v>
      </c>
      <c r="K20" s="12" t="n">
        <f aca="false">K16-K19</f>
        <v>91515</v>
      </c>
      <c r="L20" s="12" t="n">
        <f aca="false">L16-L19</f>
        <v>80176</v>
      </c>
      <c r="M20" s="12" t="n">
        <f aca="false">M16-M19</f>
        <v>70750</v>
      </c>
      <c r="N20" s="12" t="n">
        <f aca="false">N16-N19</f>
        <v>89633</v>
      </c>
      <c r="O20" s="12" t="n">
        <f aca="false">O16-O19</f>
        <v>1109658</v>
      </c>
    </row>
    <row r="21" customFormat="false" ht="15" hidden="false" customHeight="false" outlineLevel="0" collapsed="false">
      <c r="A21" s="6"/>
      <c r="B21" s="6" t="s">
        <v>42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customFormat="false" ht="15" hidden="false" customHeight="false" outlineLevel="0" collapsed="false">
      <c r="A22" s="6"/>
      <c r="B22" s="6" t="s">
        <v>43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customFormat="false" ht="15" hidden="false" customHeight="false" outlineLevel="0" collapsed="false">
      <c r="A23" s="7" t="s">
        <v>44</v>
      </c>
      <c r="B23" s="8" t="s">
        <v>45</v>
      </c>
      <c r="C23" s="9" t="n">
        <v>11064</v>
      </c>
      <c r="D23" s="9" t="n">
        <v>10386</v>
      </c>
      <c r="E23" s="9" t="n">
        <v>12086</v>
      </c>
      <c r="F23" s="9" t="n">
        <v>12735</v>
      </c>
      <c r="G23" s="9" t="n">
        <v>14411</v>
      </c>
      <c r="H23" s="9" t="n">
        <v>15415</v>
      </c>
      <c r="I23" s="9" t="n">
        <v>16425</v>
      </c>
      <c r="J23" s="9" t="n">
        <v>14602</v>
      </c>
      <c r="K23" s="9" t="n">
        <v>12926</v>
      </c>
      <c r="L23" s="9" t="n">
        <v>11345</v>
      </c>
      <c r="M23" s="9" t="n">
        <v>10571</v>
      </c>
      <c r="N23" s="9" t="n">
        <v>12711</v>
      </c>
      <c r="O23" s="10" t="n">
        <f aca="false">SUM(C23:N23)</f>
        <v>154677</v>
      </c>
    </row>
    <row r="24" customFormat="false" ht="15" hidden="false" customHeight="false" outlineLevel="0" collapsed="false">
      <c r="A24" s="7" t="s">
        <v>46</v>
      </c>
      <c r="B24" s="8" t="s">
        <v>47</v>
      </c>
      <c r="C24" s="9" t="n">
        <v>13953</v>
      </c>
      <c r="D24" s="9" t="n">
        <v>12786</v>
      </c>
      <c r="E24" s="9" t="n">
        <v>15724</v>
      </c>
      <c r="F24" s="9" t="n">
        <v>17102</v>
      </c>
      <c r="G24" s="9" t="n">
        <v>21350</v>
      </c>
      <c r="H24" s="9" t="n">
        <v>24485</v>
      </c>
      <c r="I24" s="9" t="n">
        <v>26452</v>
      </c>
      <c r="J24" s="9" t="n">
        <v>23995</v>
      </c>
      <c r="K24" s="9" t="n">
        <v>18336</v>
      </c>
      <c r="L24" s="9" t="n">
        <v>15369</v>
      </c>
      <c r="M24" s="9" t="n">
        <v>13499</v>
      </c>
      <c r="N24" s="9" t="n">
        <v>17523</v>
      </c>
      <c r="O24" s="10" t="n">
        <f aca="false">SUM(C24:N24)</f>
        <v>220574</v>
      </c>
    </row>
    <row r="25" customFormat="false" ht="15" hidden="false" customHeight="false" outlineLevel="0" collapsed="false">
      <c r="A25" s="7" t="s">
        <v>48</v>
      </c>
      <c r="B25" s="8" t="s">
        <v>49</v>
      </c>
      <c r="C25" s="9" t="n">
        <v>77</v>
      </c>
      <c r="D25" s="9" t="n">
        <v>200</v>
      </c>
      <c r="E25" s="9" t="n">
        <v>314</v>
      </c>
      <c r="F25" s="9" t="n">
        <v>85</v>
      </c>
      <c r="G25" s="9" t="n">
        <v>142</v>
      </c>
      <c r="H25" s="9" t="n">
        <v>90</v>
      </c>
      <c r="I25" s="9" t="n">
        <v>63</v>
      </c>
      <c r="J25" s="9" t="n">
        <v>268</v>
      </c>
      <c r="K25" s="9" t="n">
        <v>333</v>
      </c>
      <c r="L25" s="9" t="n">
        <v>211</v>
      </c>
      <c r="M25" s="9" t="n">
        <v>179</v>
      </c>
      <c r="N25" s="9" t="n">
        <v>121</v>
      </c>
      <c r="O25" s="10" t="n">
        <f aca="false">SUM(C25:N25)</f>
        <v>2083</v>
      </c>
    </row>
    <row r="26" customFormat="false" ht="15" hidden="false" customHeight="false" outlineLevel="0" collapsed="false">
      <c r="A26" s="7" t="s">
        <v>50</v>
      </c>
      <c r="B26" s="8" t="s">
        <v>51</v>
      </c>
      <c r="C26" s="9" t="n">
        <v>12000</v>
      </c>
      <c r="D26" s="9" t="n">
        <v>12000</v>
      </c>
      <c r="E26" s="9" t="n">
        <v>12000</v>
      </c>
      <c r="F26" s="9" t="n">
        <v>12000</v>
      </c>
      <c r="G26" s="9" t="n">
        <v>12000</v>
      </c>
      <c r="H26" s="9" t="n">
        <v>12000</v>
      </c>
      <c r="I26" s="9" t="n">
        <v>12000</v>
      </c>
      <c r="J26" s="9" t="n">
        <v>12000</v>
      </c>
      <c r="K26" s="9" t="n">
        <v>12000</v>
      </c>
      <c r="L26" s="9" t="n">
        <v>12000</v>
      </c>
      <c r="M26" s="9" t="n">
        <v>12000</v>
      </c>
      <c r="N26" s="9" t="n">
        <v>12000</v>
      </c>
      <c r="O26" s="10" t="n">
        <f aca="false">SUM(C26:N26)</f>
        <v>144000</v>
      </c>
    </row>
    <row r="27" customFormat="false" ht="15" hidden="false" customHeight="false" outlineLevel="0" collapsed="false">
      <c r="A27" s="7" t="s">
        <v>52</v>
      </c>
      <c r="B27" s="8" t="s">
        <v>53</v>
      </c>
      <c r="C27" s="9" t="n">
        <v>520</v>
      </c>
      <c r="D27" s="9" t="n">
        <v>520</v>
      </c>
      <c r="E27" s="9" t="n">
        <v>520</v>
      </c>
      <c r="F27" s="9" t="n">
        <v>520</v>
      </c>
      <c r="G27" s="9" t="n">
        <v>520</v>
      </c>
      <c r="H27" s="9" t="n">
        <v>520</v>
      </c>
      <c r="I27" s="9" t="n">
        <v>520</v>
      </c>
      <c r="J27" s="9" t="n">
        <v>520</v>
      </c>
      <c r="K27" s="9" t="n">
        <v>520</v>
      </c>
      <c r="L27" s="9" t="n">
        <v>520</v>
      </c>
      <c r="M27" s="9" t="n">
        <v>520</v>
      </c>
      <c r="N27" s="9" t="n">
        <v>520</v>
      </c>
      <c r="O27" s="10" t="n">
        <f aca="false">SUM(C27:N27)</f>
        <v>6240</v>
      </c>
    </row>
    <row r="28" customFormat="false" ht="15" hidden="false" customHeight="false" outlineLevel="0" collapsed="false">
      <c r="A28" s="7" t="s">
        <v>54</v>
      </c>
      <c r="B28" s="8" t="s">
        <v>55</v>
      </c>
      <c r="C28" s="9" t="n">
        <v>7500</v>
      </c>
      <c r="D28" s="9" t="n">
        <v>7500</v>
      </c>
      <c r="E28" s="9" t="n">
        <v>7500</v>
      </c>
      <c r="F28" s="9" t="n">
        <v>7500</v>
      </c>
      <c r="G28" s="9" t="n">
        <v>7500</v>
      </c>
      <c r="H28" s="9" t="n">
        <v>7500</v>
      </c>
      <c r="I28" s="9" t="n">
        <v>7500</v>
      </c>
      <c r="J28" s="9" t="n">
        <v>7500</v>
      </c>
      <c r="K28" s="9" t="n">
        <v>7500</v>
      </c>
      <c r="L28" s="9" t="n">
        <v>7500</v>
      </c>
      <c r="M28" s="9" t="n">
        <v>7500</v>
      </c>
      <c r="N28" s="9" t="n">
        <v>7500</v>
      </c>
      <c r="O28" s="10" t="n">
        <f aca="false">SUM(C28:N28)</f>
        <v>90000</v>
      </c>
    </row>
    <row r="29" customFormat="false" ht="15" hidden="false" customHeight="false" outlineLevel="0" collapsed="false">
      <c r="A29" s="7" t="s">
        <v>56</v>
      </c>
      <c r="B29" s="8" t="s">
        <v>57</v>
      </c>
      <c r="C29" s="9" t="n">
        <v>4800</v>
      </c>
      <c r="D29" s="9" t="n">
        <v>4800</v>
      </c>
      <c r="E29" s="9" t="n">
        <v>4800</v>
      </c>
      <c r="F29" s="9" t="n">
        <v>4800</v>
      </c>
      <c r="G29" s="9" t="n">
        <v>4800</v>
      </c>
      <c r="H29" s="9" t="n">
        <v>4800</v>
      </c>
      <c r="I29" s="9" t="n">
        <v>4800</v>
      </c>
      <c r="J29" s="9" t="n">
        <v>4800</v>
      </c>
      <c r="K29" s="9" t="n">
        <v>4800</v>
      </c>
      <c r="L29" s="9" t="n">
        <v>4800</v>
      </c>
      <c r="M29" s="9" t="n">
        <v>4800</v>
      </c>
      <c r="N29" s="9" t="n">
        <v>4800</v>
      </c>
      <c r="O29" s="10" t="n">
        <f aca="false">SUM(C29:N29)</f>
        <v>57600</v>
      </c>
    </row>
    <row r="30" customFormat="false" ht="15" hidden="false" customHeight="false" outlineLevel="0" collapsed="false">
      <c r="A30" s="7" t="s">
        <v>58</v>
      </c>
      <c r="B30" s="8" t="s">
        <v>59</v>
      </c>
      <c r="C30" s="9" t="n">
        <v>2779</v>
      </c>
      <c r="D30" s="9" t="n">
        <v>2767</v>
      </c>
      <c r="E30" s="9" t="n">
        <v>3113</v>
      </c>
      <c r="F30" s="9" t="n">
        <v>3271</v>
      </c>
      <c r="G30" s="9" t="n">
        <v>3690</v>
      </c>
      <c r="H30" s="9" t="n">
        <v>4002</v>
      </c>
      <c r="I30" s="9" t="n">
        <v>4235</v>
      </c>
      <c r="J30" s="9" t="n">
        <v>3824</v>
      </c>
      <c r="K30" s="9" t="n">
        <v>3287</v>
      </c>
      <c r="L30" s="9" t="n">
        <v>3045</v>
      </c>
      <c r="M30" s="9" t="n">
        <v>2837</v>
      </c>
      <c r="N30" s="9" t="n">
        <v>3315</v>
      </c>
      <c r="O30" s="10" t="n">
        <f aca="false">SUM(C30:N30)</f>
        <v>40165</v>
      </c>
    </row>
    <row r="31" customFormat="false" ht="15" hidden="false" customHeight="false" outlineLevel="0" collapsed="false">
      <c r="A31" s="7" t="s">
        <v>60</v>
      </c>
      <c r="B31" s="8" t="s">
        <v>61</v>
      </c>
      <c r="C31" s="9" t="n">
        <v>814</v>
      </c>
      <c r="D31" s="9" t="n">
        <v>769</v>
      </c>
      <c r="E31" s="9" t="n">
        <v>885</v>
      </c>
      <c r="F31" s="9" t="n">
        <v>925</v>
      </c>
      <c r="G31" s="9" t="n">
        <v>1061</v>
      </c>
      <c r="H31" s="9" t="n">
        <v>1155</v>
      </c>
      <c r="I31" s="9" t="n">
        <v>1197</v>
      </c>
      <c r="J31" s="9" t="n">
        <v>1125</v>
      </c>
      <c r="K31" s="9" t="n">
        <v>944</v>
      </c>
      <c r="L31" s="9" t="n">
        <v>862</v>
      </c>
      <c r="M31" s="9" t="n">
        <v>792</v>
      </c>
      <c r="N31" s="9" t="n">
        <v>954</v>
      </c>
      <c r="O31" s="10" t="n">
        <f aca="false">SUM(C31:N31)</f>
        <v>11483</v>
      </c>
    </row>
    <row r="32" customFormat="false" ht="15" hidden="false" customHeight="false" outlineLevel="0" collapsed="false">
      <c r="A32" s="6"/>
      <c r="B32" s="6" t="s">
        <v>62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customFormat="false" ht="15" hidden="false" customHeight="false" outlineLevel="0" collapsed="false">
      <c r="A33" s="7" t="s">
        <v>63</v>
      </c>
      <c r="B33" s="8" t="s">
        <v>64</v>
      </c>
      <c r="C33" s="9" t="n">
        <v>14500</v>
      </c>
      <c r="D33" s="9" t="n">
        <v>14500</v>
      </c>
      <c r="E33" s="9" t="n">
        <v>14500</v>
      </c>
      <c r="F33" s="9" t="n">
        <v>14500</v>
      </c>
      <c r="G33" s="9" t="n">
        <v>14500</v>
      </c>
      <c r="H33" s="9" t="n">
        <v>14500</v>
      </c>
      <c r="I33" s="9" t="n">
        <v>14500</v>
      </c>
      <c r="J33" s="9" t="n">
        <v>14500</v>
      </c>
      <c r="K33" s="9" t="n">
        <v>14500</v>
      </c>
      <c r="L33" s="9" t="n">
        <v>14500</v>
      </c>
      <c r="M33" s="9" t="n">
        <v>14500</v>
      </c>
      <c r="N33" s="9" t="n">
        <v>14500</v>
      </c>
      <c r="O33" s="10" t="n">
        <f aca="false">SUM(C33:N33)</f>
        <v>174000</v>
      </c>
    </row>
    <row r="34" customFormat="false" ht="15" hidden="false" customHeight="false" outlineLevel="0" collapsed="false">
      <c r="A34" s="7" t="s">
        <v>65</v>
      </c>
      <c r="B34" s="8" t="s">
        <v>66</v>
      </c>
      <c r="C34" s="9" t="n">
        <v>1450</v>
      </c>
      <c r="D34" s="9" t="n">
        <v>1450</v>
      </c>
      <c r="E34" s="9" t="n">
        <v>1450</v>
      </c>
      <c r="F34" s="9" t="n">
        <v>1450</v>
      </c>
      <c r="G34" s="9" t="n">
        <v>1450</v>
      </c>
      <c r="H34" s="9" t="n">
        <v>1450</v>
      </c>
      <c r="I34" s="9" t="n">
        <v>1450</v>
      </c>
      <c r="J34" s="9" t="n">
        <v>1450</v>
      </c>
      <c r="K34" s="9" t="n">
        <v>1450</v>
      </c>
      <c r="L34" s="9" t="n">
        <v>1450</v>
      </c>
      <c r="M34" s="9" t="n">
        <v>1450</v>
      </c>
      <c r="N34" s="9" t="n">
        <v>1450</v>
      </c>
      <c r="O34" s="10" t="n">
        <f aca="false">SUM(C34:N34)</f>
        <v>17400</v>
      </c>
    </row>
    <row r="35" customFormat="false" ht="15" hidden="false" customHeight="false" outlineLevel="0" collapsed="false">
      <c r="A35" s="7" t="s">
        <v>67</v>
      </c>
      <c r="B35" s="8" t="s">
        <v>68</v>
      </c>
      <c r="C35" s="9" t="n">
        <v>580</v>
      </c>
      <c r="D35" s="9" t="n">
        <v>580</v>
      </c>
      <c r="E35" s="9" t="n">
        <v>580</v>
      </c>
      <c r="F35" s="9" t="n">
        <v>580</v>
      </c>
      <c r="G35" s="9" t="n">
        <v>580</v>
      </c>
      <c r="H35" s="9" t="n">
        <v>580</v>
      </c>
      <c r="I35" s="9" t="n">
        <v>580</v>
      </c>
      <c r="J35" s="9" t="n">
        <v>580</v>
      </c>
      <c r="K35" s="9" t="n">
        <v>580</v>
      </c>
      <c r="L35" s="9" t="n">
        <v>580</v>
      </c>
      <c r="M35" s="9" t="n">
        <v>580</v>
      </c>
      <c r="N35" s="9" t="n">
        <v>580</v>
      </c>
      <c r="O35" s="10" t="n">
        <f aca="false">SUM(C35:N35)</f>
        <v>6960</v>
      </c>
    </row>
    <row r="36" customFormat="false" ht="15" hidden="false" customHeight="false" outlineLevel="0" collapsed="false">
      <c r="A36" s="6"/>
      <c r="B36" s="6" t="s">
        <v>69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customFormat="false" ht="15" hidden="false" customHeight="false" outlineLevel="0" collapsed="false">
      <c r="A37" s="7" t="s">
        <v>70</v>
      </c>
      <c r="B37" s="8" t="s">
        <v>71</v>
      </c>
      <c r="C37" s="9" t="n">
        <v>2787</v>
      </c>
      <c r="D37" s="9" t="n">
        <v>2974</v>
      </c>
      <c r="E37" s="9" t="n">
        <v>2665</v>
      </c>
      <c r="F37" s="9" t="n">
        <v>2311</v>
      </c>
      <c r="G37" s="9" t="n">
        <v>2503</v>
      </c>
      <c r="H37" s="9" t="n">
        <v>2609</v>
      </c>
      <c r="I37" s="9" t="n">
        <v>2589</v>
      </c>
      <c r="J37" s="9" t="n">
        <v>2807</v>
      </c>
      <c r="K37" s="9" t="n">
        <v>2422</v>
      </c>
      <c r="L37" s="9" t="n">
        <v>2305</v>
      </c>
      <c r="M37" s="9" t="n">
        <v>2761</v>
      </c>
      <c r="N37" s="9" t="n">
        <v>2991</v>
      </c>
      <c r="O37" s="10" t="n">
        <f aca="false">SUM(C37:N37)</f>
        <v>31724</v>
      </c>
    </row>
    <row r="38" customFormat="false" ht="15" hidden="false" customHeight="false" outlineLevel="0" collapsed="false">
      <c r="A38" s="7" t="s">
        <v>72</v>
      </c>
      <c r="B38" s="8" t="s">
        <v>73</v>
      </c>
      <c r="C38" s="9" t="n">
        <v>567</v>
      </c>
      <c r="D38" s="9" t="n">
        <v>606</v>
      </c>
      <c r="E38" s="9" t="n">
        <v>612</v>
      </c>
      <c r="F38" s="9" t="n">
        <v>604</v>
      </c>
      <c r="G38" s="9" t="n">
        <v>629</v>
      </c>
      <c r="H38" s="9" t="n">
        <v>476</v>
      </c>
      <c r="I38" s="9" t="n">
        <v>611</v>
      </c>
      <c r="J38" s="9" t="n">
        <v>557</v>
      </c>
      <c r="K38" s="9" t="n">
        <v>547</v>
      </c>
      <c r="L38" s="9" t="n">
        <v>631</v>
      </c>
      <c r="M38" s="9" t="n">
        <v>496</v>
      </c>
      <c r="N38" s="9" t="n">
        <v>654</v>
      </c>
      <c r="O38" s="10" t="n">
        <f aca="false">SUM(C38:N38)</f>
        <v>6990</v>
      </c>
    </row>
    <row r="39" customFormat="false" ht="15" hidden="false" customHeight="false" outlineLevel="0" collapsed="false">
      <c r="A39" s="7" t="s">
        <v>74</v>
      </c>
      <c r="B39" s="8" t="s">
        <v>75</v>
      </c>
      <c r="C39" s="9" t="n">
        <v>405</v>
      </c>
      <c r="D39" s="9" t="n">
        <v>407</v>
      </c>
      <c r="E39" s="9" t="n">
        <v>414</v>
      </c>
      <c r="F39" s="9" t="n">
        <v>357</v>
      </c>
      <c r="G39" s="9" t="n">
        <v>387</v>
      </c>
      <c r="H39" s="9" t="n">
        <v>412</v>
      </c>
      <c r="I39" s="9" t="n">
        <v>383</v>
      </c>
      <c r="J39" s="9" t="n">
        <v>395</v>
      </c>
      <c r="K39" s="9" t="n">
        <v>348</v>
      </c>
      <c r="L39" s="9" t="n">
        <v>393</v>
      </c>
      <c r="M39" s="9" t="n">
        <v>342</v>
      </c>
      <c r="N39" s="9" t="n">
        <v>381</v>
      </c>
      <c r="O39" s="10" t="n">
        <f aca="false">SUM(C39:N39)</f>
        <v>4624</v>
      </c>
    </row>
    <row r="40" customFormat="false" ht="15" hidden="false" customHeight="false" outlineLevel="0" collapsed="false">
      <c r="A40" s="7" t="s">
        <v>76</v>
      </c>
      <c r="B40" s="8" t="s">
        <v>77</v>
      </c>
      <c r="C40" s="9" t="n">
        <v>295</v>
      </c>
      <c r="D40" s="9" t="n">
        <v>295</v>
      </c>
      <c r="E40" s="9" t="n">
        <v>295</v>
      </c>
      <c r="F40" s="9" t="n">
        <v>295</v>
      </c>
      <c r="G40" s="9" t="n">
        <v>295</v>
      </c>
      <c r="H40" s="9" t="n">
        <v>295</v>
      </c>
      <c r="I40" s="9" t="n">
        <v>295</v>
      </c>
      <c r="J40" s="9" t="n">
        <v>295</v>
      </c>
      <c r="K40" s="9" t="n">
        <v>295</v>
      </c>
      <c r="L40" s="9" t="n">
        <v>295</v>
      </c>
      <c r="M40" s="9" t="n">
        <v>295</v>
      </c>
      <c r="N40" s="9" t="n">
        <v>295</v>
      </c>
      <c r="O40" s="10" t="n">
        <f aca="false">SUM(C40:N40)</f>
        <v>3540</v>
      </c>
    </row>
    <row r="41" customFormat="false" ht="15" hidden="false" customHeight="false" outlineLevel="0" collapsed="false">
      <c r="A41" s="6"/>
      <c r="B41" s="6" t="s">
        <v>78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customFormat="false" ht="15" hidden="false" customHeight="false" outlineLevel="0" collapsed="false">
      <c r="A42" s="7" t="s">
        <v>79</v>
      </c>
      <c r="B42" s="8" t="s">
        <v>80</v>
      </c>
      <c r="C42" s="9" t="n">
        <v>2014</v>
      </c>
      <c r="D42" s="9" t="n">
        <v>2154</v>
      </c>
      <c r="E42" s="9" t="n">
        <v>2055</v>
      </c>
      <c r="F42" s="9" t="n">
        <v>2138</v>
      </c>
      <c r="G42" s="9" t="n">
        <v>2064</v>
      </c>
      <c r="H42" s="9" t="n">
        <v>2341</v>
      </c>
      <c r="I42" s="9" t="n">
        <v>2264</v>
      </c>
      <c r="J42" s="9" t="n">
        <v>2387</v>
      </c>
      <c r="K42" s="9" t="n">
        <v>2405</v>
      </c>
      <c r="L42" s="9" t="n">
        <v>2355</v>
      </c>
      <c r="M42" s="9" t="n">
        <v>2302</v>
      </c>
      <c r="N42" s="9" t="n">
        <v>2261</v>
      </c>
      <c r="O42" s="10" t="n">
        <f aca="false">SUM(C42:N42)</f>
        <v>26740</v>
      </c>
    </row>
    <row r="43" customFormat="false" ht="15" hidden="false" customHeight="false" outlineLevel="0" collapsed="false">
      <c r="A43" s="7" t="s">
        <v>81</v>
      </c>
      <c r="B43" s="8" t="s">
        <v>82</v>
      </c>
      <c r="C43" s="9" t="n">
        <v>600</v>
      </c>
      <c r="D43" s="9" t="n">
        <v>600</v>
      </c>
      <c r="E43" s="9" t="n">
        <v>600</v>
      </c>
      <c r="F43" s="9" t="n">
        <v>600</v>
      </c>
      <c r="G43" s="9" t="n">
        <v>600</v>
      </c>
      <c r="H43" s="9" t="n">
        <v>600</v>
      </c>
      <c r="I43" s="9" t="n">
        <v>600</v>
      </c>
      <c r="J43" s="9" t="n">
        <v>600</v>
      </c>
      <c r="K43" s="9" t="n">
        <v>600</v>
      </c>
      <c r="L43" s="9" t="n">
        <v>600</v>
      </c>
      <c r="M43" s="9" t="n">
        <v>600</v>
      </c>
      <c r="N43" s="9" t="n">
        <v>600</v>
      </c>
      <c r="O43" s="10" t="n">
        <f aca="false">SUM(C43:N43)</f>
        <v>7200</v>
      </c>
    </row>
    <row r="44" customFormat="false" ht="15" hidden="false" customHeight="false" outlineLevel="0" collapsed="false">
      <c r="A44" s="7" t="s">
        <v>83</v>
      </c>
      <c r="B44" s="8" t="s">
        <v>84</v>
      </c>
      <c r="C44" s="9" t="n">
        <v>395</v>
      </c>
      <c r="F44" s="9" t="n">
        <v>395</v>
      </c>
      <c r="I44" s="9" t="n">
        <v>395</v>
      </c>
      <c r="L44" s="9" t="n">
        <v>395</v>
      </c>
      <c r="O44" s="10" t="n">
        <f aca="false">SUM(C44:N44)</f>
        <v>1580</v>
      </c>
    </row>
    <row r="45" customFormat="false" ht="15" hidden="false" customHeight="false" outlineLevel="0" collapsed="false">
      <c r="A45" s="7" t="s">
        <v>85</v>
      </c>
      <c r="B45" s="8" t="s">
        <v>86</v>
      </c>
      <c r="C45" s="9" t="n">
        <v>1100</v>
      </c>
      <c r="D45" s="9" t="n">
        <v>1100</v>
      </c>
      <c r="E45" s="9" t="n">
        <v>1100</v>
      </c>
      <c r="F45" s="9" t="n">
        <v>1100</v>
      </c>
      <c r="G45" s="9" t="n">
        <v>1100</v>
      </c>
      <c r="H45" s="9" t="n">
        <v>1100</v>
      </c>
      <c r="I45" s="9" t="n">
        <v>3100</v>
      </c>
      <c r="J45" s="9" t="n">
        <v>1100</v>
      </c>
      <c r="K45" s="9" t="n">
        <v>1100</v>
      </c>
      <c r="L45" s="9" t="n">
        <v>1100</v>
      </c>
      <c r="M45" s="9" t="n">
        <v>1100</v>
      </c>
      <c r="N45" s="9" t="n">
        <v>1100</v>
      </c>
      <c r="O45" s="10" t="n">
        <f aca="false">SUM(C45:N45)</f>
        <v>15200</v>
      </c>
    </row>
    <row r="46" customFormat="false" ht="15" hidden="false" customHeight="false" outlineLevel="0" collapsed="false">
      <c r="A46" s="6"/>
      <c r="B46" s="6" t="s">
        <v>87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customFormat="false" ht="15" hidden="false" customHeight="false" outlineLevel="0" collapsed="false">
      <c r="A47" s="7" t="s">
        <v>88</v>
      </c>
      <c r="B47" s="8" t="s">
        <v>89</v>
      </c>
      <c r="C47" s="9" t="n">
        <v>916</v>
      </c>
      <c r="D47" s="9" t="n">
        <v>865</v>
      </c>
      <c r="E47" s="9" t="n">
        <v>857</v>
      </c>
      <c r="F47" s="9" t="n">
        <v>860</v>
      </c>
      <c r="G47" s="9" t="n">
        <v>804</v>
      </c>
      <c r="H47" s="9" t="n">
        <v>831</v>
      </c>
      <c r="I47" s="9" t="n">
        <v>893</v>
      </c>
      <c r="J47" s="9" t="n">
        <v>859</v>
      </c>
      <c r="K47" s="9" t="n">
        <v>864</v>
      </c>
      <c r="L47" s="9" t="n">
        <v>814</v>
      </c>
      <c r="M47" s="9" t="n">
        <v>823</v>
      </c>
      <c r="N47" s="9" t="n">
        <v>931</v>
      </c>
      <c r="O47" s="10" t="n">
        <f aca="false">SUM(C47:N47)</f>
        <v>10317</v>
      </c>
    </row>
    <row r="48" customFormat="false" ht="15" hidden="false" customHeight="false" outlineLevel="0" collapsed="false">
      <c r="A48" s="7" t="s">
        <v>90</v>
      </c>
      <c r="B48" s="8" t="s">
        <v>91</v>
      </c>
      <c r="C48" s="9" t="n">
        <v>75</v>
      </c>
      <c r="F48" s="9" t="n">
        <v>75</v>
      </c>
      <c r="I48" s="9" t="n">
        <v>75</v>
      </c>
      <c r="L48" s="9" t="n">
        <v>75</v>
      </c>
      <c r="O48" s="10" t="n">
        <f aca="false">SUM(C48:N48)</f>
        <v>300</v>
      </c>
    </row>
    <row r="49" customFormat="false" ht="15" hidden="false" customHeight="false" outlineLevel="0" collapsed="false">
      <c r="A49" s="7" t="s">
        <v>92</v>
      </c>
      <c r="B49" s="8" t="s">
        <v>93</v>
      </c>
      <c r="C49" s="9" t="n">
        <v>1471</v>
      </c>
      <c r="D49" s="9" t="n">
        <v>741</v>
      </c>
      <c r="E49" s="9" t="n">
        <v>1661</v>
      </c>
      <c r="F49" s="9" t="n">
        <v>1093</v>
      </c>
      <c r="G49" s="9" t="n">
        <v>1385</v>
      </c>
      <c r="H49" s="9" t="n">
        <v>403</v>
      </c>
      <c r="I49" s="9" t="n">
        <v>1729</v>
      </c>
      <c r="J49" s="9" t="n">
        <v>898</v>
      </c>
      <c r="K49" s="9" t="n">
        <v>378</v>
      </c>
      <c r="L49" s="9" t="n">
        <v>260</v>
      </c>
      <c r="M49" s="9" t="n">
        <v>254</v>
      </c>
      <c r="N49" s="9" t="n">
        <v>152</v>
      </c>
      <c r="O49" s="10" t="n">
        <f aca="false">SUM(C49:N49)</f>
        <v>10425</v>
      </c>
    </row>
    <row r="50" customFormat="false" ht="15" hidden="false" customHeight="false" outlineLevel="0" collapsed="false">
      <c r="A50" s="7" t="s">
        <v>94</v>
      </c>
      <c r="B50" s="8" t="s">
        <v>95</v>
      </c>
      <c r="C50" s="9" t="n">
        <v>95</v>
      </c>
      <c r="D50" s="9" t="n">
        <v>95</v>
      </c>
      <c r="E50" s="9" t="n">
        <v>95</v>
      </c>
      <c r="F50" s="9" t="n">
        <v>95</v>
      </c>
      <c r="G50" s="9" t="n">
        <v>95</v>
      </c>
      <c r="H50" s="9" t="n">
        <v>95</v>
      </c>
      <c r="I50" s="9" t="n">
        <v>95</v>
      </c>
      <c r="J50" s="9" t="n">
        <v>95</v>
      </c>
      <c r="K50" s="9" t="n">
        <v>95</v>
      </c>
      <c r="L50" s="9" t="n">
        <v>95</v>
      </c>
      <c r="M50" s="9" t="n">
        <v>95</v>
      </c>
      <c r="N50" s="9" t="n">
        <v>95</v>
      </c>
      <c r="O50" s="10" t="n">
        <f aca="false">SUM(C50:N50)</f>
        <v>1140</v>
      </c>
    </row>
    <row r="51" customFormat="false" ht="15" hidden="false" customHeight="false" outlineLevel="0" collapsed="false">
      <c r="A51" s="6"/>
      <c r="B51" s="6" t="s">
        <v>96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customFormat="false" ht="15" hidden="false" customHeight="false" outlineLevel="0" collapsed="false">
      <c r="A52" s="7" t="s">
        <v>97</v>
      </c>
      <c r="B52" s="8" t="s">
        <v>98</v>
      </c>
      <c r="C52" s="9" t="n">
        <v>1396</v>
      </c>
      <c r="D52" s="9" t="n">
        <v>1279</v>
      </c>
      <c r="E52" s="9" t="n">
        <v>1530</v>
      </c>
      <c r="F52" s="9" t="n">
        <v>1612</v>
      </c>
      <c r="G52" s="9" t="n">
        <v>1796</v>
      </c>
      <c r="H52" s="9" t="n">
        <v>1940</v>
      </c>
      <c r="I52" s="9" t="n">
        <v>2025</v>
      </c>
      <c r="J52" s="9" t="n">
        <v>1858</v>
      </c>
      <c r="K52" s="9" t="n">
        <v>1586</v>
      </c>
      <c r="L52" s="9" t="n">
        <v>1464</v>
      </c>
      <c r="M52" s="9" t="n">
        <v>1284</v>
      </c>
      <c r="N52" s="9" t="n">
        <v>1646</v>
      </c>
      <c r="O52" s="10" t="n">
        <f aca="false">SUM(C52:N52)</f>
        <v>19416</v>
      </c>
    </row>
    <row r="53" customFormat="false" ht="15" hidden="false" customHeight="false" outlineLevel="0" collapsed="false">
      <c r="A53" s="7" t="s">
        <v>99</v>
      </c>
      <c r="B53" s="8" t="s">
        <v>100</v>
      </c>
      <c r="C53" s="9" t="n">
        <v>713</v>
      </c>
      <c r="D53" s="9" t="n">
        <v>702</v>
      </c>
      <c r="E53" s="9" t="n">
        <v>867</v>
      </c>
      <c r="F53" s="9" t="n">
        <v>1001</v>
      </c>
      <c r="G53" s="9" t="n">
        <v>1110</v>
      </c>
      <c r="H53" s="9" t="n">
        <v>1465</v>
      </c>
      <c r="I53" s="9" t="n">
        <v>1516</v>
      </c>
      <c r="J53" s="9" t="n">
        <v>1387</v>
      </c>
      <c r="K53" s="9" t="n">
        <v>1023</v>
      </c>
      <c r="L53" s="9" t="n">
        <v>940</v>
      </c>
      <c r="M53" s="9" t="n">
        <v>822</v>
      </c>
      <c r="N53" s="9" t="n">
        <v>1076</v>
      </c>
      <c r="O53" s="10" t="n">
        <f aca="false">SUM(C53:N53)</f>
        <v>12622</v>
      </c>
    </row>
    <row r="54" customFormat="false" ht="15" hidden="false" customHeight="false" outlineLevel="0" collapsed="false">
      <c r="A54" s="7" t="s">
        <v>101</v>
      </c>
      <c r="B54" s="8" t="s">
        <v>102</v>
      </c>
      <c r="C54" s="9" t="n">
        <v>180</v>
      </c>
      <c r="D54" s="9" t="n">
        <v>349</v>
      </c>
      <c r="E54" s="9" t="n">
        <v>313</v>
      </c>
      <c r="F54" s="9" t="n">
        <v>147</v>
      </c>
      <c r="G54" s="9" t="n">
        <v>172</v>
      </c>
      <c r="H54" s="9" t="n">
        <v>244</v>
      </c>
      <c r="I54" s="9" t="n">
        <v>478</v>
      </c>
      <c r="J54" s="9" t="n">
        <v>94</v>
      </c>
      <c r="K54" s="9" t="n">
        <v>485</v>
      </c>
      <c r="L54" s="9" t="n">
        <v>479</v>
      </c>
      <c r="M54" s="9" t="n">
        <v>249</v>
      </c>
      <c r="N54" s="9" t="n">
        <v>342</v>
      </c>
      <c r="O54" s="10" t="n">
        <f aca="false">SUM(C54:N54)</f>
        <v>3532</v>
      </c>
    </row>
    <row r="55" customFormat="false" ht="15" hidden="false" customHeight="false" outlineLevel="0" collapsed="false">
      <c r="A55" s="6"/>
      <c r="B55" s="6" t="s">
        <v>103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customFormat="false" ht="15" hidden="false" customHeight="false" outlineLevel="0" collapsed="false">
      <c r="A56" s="7" t="s">
        <v>104</v>
      </c>
      <c r="B56" s="8" t="s">
        <v>105</v>
      </c>
      <c r="C56" s="9" t="n">
        <v>650</v>
      </c>
      <c r="D56" s="9" t="n">
        <v>650</v>
      </c>
      <c r="E56" s="9" t="n">
        <v>650</v>
      </c>
      <c r="F56" s="9" t="n">
        <v>650</v>
      </c>
      <c r="G56" s="9" t="n">
        <v>650</v>
      </c>
      <c r="H56" s="9" t="n">
        <v>650</v>
      </c>
      <c r="I56" s="9" t="n">
        <v>650</v>
      </c>
      <c r="J56" s="9" t="n">
        <v>650</v>
      </c>
      <c r="K56" s="9" t="n">
        <v>650</v>
      </c>
      <c r="L56" s="9" t="n">
        <v>650</v>
      </c>
      <c r="M56" s="9" t="n">
        <v>650</v>
      </c>
      <c r="N56" s="9" t="n">
        <v>650</v>
      </c>
      <c r="O56" s="10" t="n">
        <f aca="false">SUM(C56:N56)</f>
        <v>7800</v>
      </c>
    </row>
    <row r="57" customFormat="false" ht="15" hidden="false" customHeight="false" outlineLevel="0" collapsed="false">
      <c r="A57" s="7" t="s">
        <v>106</v>
      </c>
      <c r="B57" s="8" t="s">
        <v>107</v>
      </c>
      <c r="C57" s="9" t="n">
        <v>220</v>
      </c>
      <c r="D57" s="9" t="n">
        <v>220</v>
      </c>
      <c r="E57" s="9" t="n">
        <v>220</v>
      </c>
      <c r="F57" s="9" t="n">
        <v>220</v>
      </c>
      <c r="G57" s="9" t="n">
        <v>220</v>
      </c>
      <c r="H57" s="9" t="n">
        <v>220</v>
      </c>
      <c r="I57" s="9" t="n">
        <v>220</v>
      </c>
      <c r="J57" s="9" t="n">
        <v>220</v>
      </c>
      <c r="K57" s="9" t="n">
        <v>220</v>
      </c>
      <c r="L57" s="9" t="n">
        <v>220</v>
      </c>
      <c r="M57" s="9" t="n">
        <v>220</v>
      </c>
      <c r="N57" s="9" t="n">
        <v>220</v>
      </c>
      <c r="O57" s="10" t="n">
        <f aca="false">SUM(C57:N57)</f>
        <v>2640</v>
      </c>
    </row>
    <row r="58" customFormat="false" ht="15" hidden="false" customHeight="false" outlineLevel="0" collapsed="false">
      <c r="A58" s="6"/>
      <c r="B58" s="6" t="s">
        <v>108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customFormat="false" ht="15" hidden="false" customHeight="false" outlineLevel="0" collapsed="false">
      <c r="A59" s="7" t="s">
        <v>109</v>
      </c>
      <c r="B59" s="8" t="s">
        <v>110</v>
      </c>
      <c r="E59" s="9" t="n">
        <v>1500</v>
      </c>
      <c r="H59" s="9" t="n">
        <v>1500</v>
      </c>
      <c r="K59" s="9" t="n">
        <v>1500</v>
      </c>
      <c r="N59" s="9" t="n">
        <v>1500</v>
      </c>
      <c r="O59" s="10" t="n">
        <f aca="false">SUM(C59:N59)</f>
        <v>6000</v>
      </c>
    </row>
    <row r="60" customFormat="false" ht="15" hidden="false" customHeight="false" outlineLevel="0" collapsed="false">
      <c r="A60" s="7" t="s">
        <v>111</v>
      </c>
      <c r="B60" s="8" t="s">
        <v>112</v>
      </c>
      <c r="N60" s="9" t="n">
        <v>8200</v>
      </c>
      <c r="O60" s="10" t="n">
        <f aca="false">SUM(C60:N60)</f>
        <v>8200</v>
      </c>
    </row>
    <row r="61" customFormat="false" ht="15" hidden="false" customHeight="false" outlineLevel="0" collapsed="false">
      <c r="A61" s="7" t="s">
        <v>113</v>
      </c>
      <c r="B61" s="8" t="s">
        <v>114</v>
      </c>
      <c r="C61" s="9" t="n">
        <v>185</v>
      </c>
      <c r="D61" s="9" t="n">
        <v>185</v>
      </c>
      <c r="E61" s="9" t="n">
        <v>185</v>
      </c>
      <c r="F61" s="9" t="n">
        <v>185</v>
      </c>
      <c r="G61" s="9" t="n">
        <v>185</v>
      </c>
      <c r="H61" s="9" t="n">
        <v>185</v>
      </c>
      <c r="I61" s="9" t="n">
        <v>185</v>
      </c>
      <c r="J61" s="9" t="n">
        <v>185</v>
      </c>
      <c r="K61" s="9" t="n">
        <v>185</v>
      </c>
      <c r="L61" s="9" t="n">
        <v>185</v>
      </c>
      <c r="M61" s="9" t="n">
        <v>185</v>
      </c>
      <c r="N61" s="9" t="n">
        <v>185</v>
      </c>
      <c r="O61" s="10" t="n">
        <f aca="false">SUM(C61:N61)</f>
        <v>2220</v>
      </c>
    </row>
    <row r="62" customFormat="false" ht="15" hidden="false" customHeight="false" outlineLevel="0" collapsed="false">
      <c r="A62" s="6"/>
      <c r="B62" s="6" t="s">
        <v>115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customFormat="false" ht="15" hidden="false" customHeight="false" outlineLevel="0" collapsed="false">
      <c r="A63" s="7" t="s">
        <v>116</v>
      </c>
      <c r="B63" s="8" t="s">
        <v>117</v>
      </c>
      <c r="C63" s="9" t="n">
        <v>1828</v>
      </c>
      <c r="D63" s="9" t="n">
        <v>1671</v>
      </c>
      <c r="E63" s="9" t="n">
        <v>2083</v>
      </c>
      <c r="F63" s="9" t="n">
        <v>2228</v>
      </c>
      <c r="G63" s="9" t="n">
        <v>2655</v>
      </c>
      <c r="H63" s="9" t="n">
        <v>3060</v>
      </c>
      <c r="I63" s="9" t="n">
        <v>3254</v>
      </c>
      <c r="J63" s="9" t="n">
        <v>2948</v>
      </c>
      <c r="K63" s="9" t="n">
        <v>2341</v>
      </c>
      <c r="L63" s="9" t="n">
        <v>2031</v>
      </c>
      <c r="M63" s="9" t="n">
        <v>1776</v>
      </c>
      <c r="N63" s="9" t="n">
        <v>2336</v>
      </c>
      <c r="O63" s="10" t="n">
        <f aca="false">SUM(C63:N63)</f>
        <v>28211</v>
      </c>
    </row>
    <row r="64" customFormat="false" ht="15" hidden="false" customHeight="false" outlineLevel="0" collapsed="false">
      <c r="A64" s="7" t="s">
        <v>118</v>
      </c>
      <c r="B64" s="8" t="s">
        <v>119</v>
      </c>
      <c r="C64" s="9" t="n">
        <v>51</v>
      </c>
      <c r="D64" s="9" t="n">
        <v>75</v>
      </c>
      <c r="E64" s="9" t="n">
        <v>53</v>
      </c>
      <c r="F64" s="9" t="n">
        <v>60</v>
      </c>
      <c r="G64" s="9" t="n">
        <v>39</v>
      </c>
      <c r="H64" s="9" t="n">
        <v>38</v>
      </c>
      <c r="I64" s="9" t="n">
        <v>73</v>
      </c>
      <c r="J64" s="9" t="n">
        <v>38</v>
      </c>
      <c r="K64" s="9" t="n">
        <v>3</v>
      </c>
      <c r="L64" s="9" t="n">
        <v>25</v>
      </c>
      <c r="M64" s="9" t="n">
        <v>38</v>
      </c>
      <c r="N64" s="9" t="n">
        <v>1</v>
      </c>
      <c r="O64" s="10" t="n">
        <f aca="false">SUM(C64:N64)</f>
        <v>494</v>
      </c>
    </row>
    <row r="65" customFormat="false" ht="15" hidden="false" customHeight="false" outlineLevel="0" collapsed="false">
      <c r="A65" s="7" t="s">
        <v>120</v>
      </c>
      <c r="B65" s="8" t="s">
        <v>121</v>
      </c>
      <c r="C65" s="9" t="n">
        <v>59</v>
      </c>
      <c r="D65" s="9" t="n">
        <v>342</v>
      </c>
      <c r="E65" s="9" t="n">
        <v>104</v>
      </c>
      <c r="F65" s="9" t="n">
        <v>565</v>
      </c>
      <c r="G65" s="9" t="n">
        <v>72</v>
      </c>
      <c r="H65" s="9" t="n">
        <v>184</v>
      </c>
      <c r="I65" s="9" t="n">
        <v>56</v>
      </c>
      <c r="J65" s="9" t="n">
        <v>230</v>
      </c>
      <c r="K65" s="9" t="n">
        <v>6</v>
      </c>
      <c r="L65" s="9" t="n">
        <v>367</v>
      </c>
      <c r="M65" s="9" t="n">
        <v>83</v>
      </c>
      <c r="N65" s="9" t="n">
        <v>66</v>
      </c>
      <c r="O65" s="10" t="n">
        <f aca="false">SUM(C65:N65)</f>
        <v>2134</v>
      </c>
    </row>
    <row r="66" customFormat="false" ht="15" hidden="false" customHeight="false" outlineLevel="0" collapsed="false">
      <c r="A66" s="6"/>
      <c r="B66" s="6" t="s">
        <v>122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customFormat="false" ht="15" hidden="false" customHeight="false" outlineLevel="0" collapsed="false">
      <c r="A67" s="7" t="s">
        <v>123</v>
      </c>
      <c r="B67" s="8" t="s">
        <v>124</v>
      </c>
      <c r="C67" s="9" t="n">
        <v>200</v>
      </c>
      <c r="D67" s="9" t="n">
        <v>119</v>
      </c>
      <c r="E67" s="9" t="n">
        <v>166</v>
      </c>
      <c r="F67" s="9" t="n">
        <v>400</v>
      </c>
      <c r="G67" s="9" t="n">
        <v>188</v>
      </c>
      <c r="H67" s="9" t="n">
        <v>318</v>
      </c>
      <c r="I67" s="9" t="n">
        <v>303</v>
      </c>
      <c r="J67" s="9" t="n">
        <v>309</v>
      </c>
      <c r="K67" s="9" t="n">
        <v>234</v>
      </c>
      <c r="L67" s="9" t="n">
        <v>230</v>
      </c>
      <c r="M67" s="9" t="n">
        <v>301</v>
      </c>
      <c r="N67" s="9" t="n">
        <v>129</v>
      </c>
      <c r="O67" s="10" t="n">
        <f aca="false">SUM(C67:N67)</f>
        <v>2897</v>
      </c>
    </row>
    <row r="68" customFormat="false" ht="15" hidden="false" customHeight="false" outlineLevel="0" collapsed="false">
      <c r="A68" s="7" t="s">
        <v>125</v>
      </c>
      <c r="B68" s="8" t="s">
        <v>126</v>
      </c>
      <c r="C68" s="9" t="n">
        <v>7</v>
      </c>
      <c r="D68" s="9" t="n">
        <v>16</v>
      </c>
      <c r="E68" s="9" t="n">
        <v>4</v>
      </c>
      <c r="F68" s="9" t="n">
        <v>70</v>
      </c>
      <c r="G68" s="9" t="n">
        <v>14</v>
      </c>
      <c r="H68" s="9" t="n">
        <v>68</v>
      </c>
      <c r="I68" s="9" t="n">
        <v>86</v>
      </c>
      <c r="J68" s="9" t="n">
        <v>36</v>
      </c>
      <c r="K68" s="9" t="n">
        <v>101</v>
      </c>
      <c r="L68" s="9" t="n">
        <v>76</v>
      </c>
      <c r="M68" s="9" t="n">
        <v>48</v>
      </c>
      <c r="N68" s="9" t="n">
        <v>79</v>
      </c>
      <c r="O68" s="10" t="n">
        <f aca="false">SUM(C68:N68)</f>
        <v>605</v>
      </c>
    </row>
    <row r="69" customFormat="false" ht="15" hidden="false" customHeight="false" outlineLevel="0" collapsed="false">
      <c r="A69" s="7" t="s">
        <v>127</v>
      </c>
      <c r="B69" s="8" t="s">
        <v>128</v>
      </c>
      <c r="H69" s="9" t="n">
        <v>27</v>
      </c>
      <c r="N69" s="9" t="n">
        <v>438</v>
      </c>
      <c r="O69" s="10" t="n">
        <f aca="false">SUM(C69:N69)</f>
        <v>465</v>
      </c>
    </row>
    <row r="70" customFormat="false" ht="15" hidden="false" customHeight="false" outlineLevel="0" collapsed="false">
      <c r="A70" s="7" t="s">
        <v>129</v>
      </c>
      <c r="B70" s="8" t="s">
        <v>130</v>
      </c>
      <c r="C70" s="9" t="n">
        <v>250</v>
      </c>
      <c r="F70" s="9" t="n">
        <v>250</v>
      </c>
      <c r="I70" s="9" t="n">
        <v>250</v>
      </c>
      <c r="L70" s="9" t="n">
        <v>250</v>
      </c>
      <c r="O70" s="10" t="n">
        <f aca="false">SUM(C70:N70)</f>
        <v>1000</v>
      </c>
    </row>
    <row r="71" customFormat="false" ht="15" hidden="false" customHeight="false" outlineLevel="0" collapsed="false">
      <c r="A71" s="7" t="s">
        <v>131</v>
      </c>
      <c r="B71" s="8" t="s">
        <v>132</v>
      </c>
      <c r="C71" s="9" t="n">
        <v>48</v>
      </c>
      <c r="D71" s="9" t="n">
        <v>265</v>
      </c>
      <c r="E71" s="9" t="n">
        <v>155</v>
      </c>
      <c r="F71" s="9" t="n">
        <v>148</v>
      </c>
      <c r="G71" s="9" t="n">
        <v>60</v>
      </c>
      <c r="H71" s="9" t="n">
        <v>23</v>
      </c>
      <c r="I71" s="9" t="n">
        <v>44</v>
      </c>
      <c r="J71" s="9" t="n">
        <v>98</v>
      </c>
      <c r="K71" s="9" t="n">
        <v>49</v>
      </c>
      <c r="L71" s="9" t="n">
        <v>248</v>
      </c>
      <c r="M71" s="9" t="n">
        <v>83</v>
      </c>
      <c r="N71" s="9" t="n">
        <v>119</v>
      </c>
      <c r="O71" s="10" t="n">
        <f aca="false">SUM(C71:N71)</f>
        <v>1340</v>
      </c>
    </row>
    <row r="72" customFormat="false" ht="15" hidden="false" customHeight="false" outlineLevel="0" collapsed="false">
      <c r="A72" s="7" t="s">
        <v>133</v>
      </c>
      <c r="B72" s="8" t="s">
        <v>134</v>
      </c>
      <c r="C72" s="9" t="n">
        <v>473</v>
      </c>
      <c r="D72" s="9" t="n">
        <v>467</v>
      </c>
      <c r="E72" s="9" t="n">
        <v>391</v>
      </c>
      <c r="F72" s="9" t="n">
        <v>593</v>
      </c>
      <c r="G72" s="9" t="n">
        <v>654</v>
      </c>
      <c r="H72" s="9" t="n">
        <v>547</v>
      </c>
      <c r="I72" s="9" t="n">
        <v>413</v>
      </c>
      <c r="J72" s="9" t="n">
        <v>628</v>
      </c>
      <c r="K72" s="9" t="n">
        <v>334</v>
      </c>
      <c r="L72" s="9" t="n">
        <v>596</v>
      </c>
      <c r="M72" s="9" t="n">
        <v>495</v>
      </c>
      <c r="N72" s="9" t="n">
        <v>397</v>
      </c>
      <c r="O72" s="10" t="n">
        <f aca="false">SUM(C72:N72)</f>
        <v>5988</v>
      </c>
    </row>
    <row r="73" customFormat="false" ht="15" hidden="false" customHeight="false" outlineLevel="0" collapsed="false">
      <c r="A73" s="7" t="s">
        <v>135</v>
      </c>
      <c r="B73" s="8" t="s">
        <v>136</v>
      </c>
      <c r="C73" s="9" t="n">
        <v>280</v>
      </c>
      <c r="D73" s="9" t="n">
        <v>280</v>
      </c>
      <c r="E73" s="9" t="n">
        <v>280</v>
      </c>
      <c r="F73" s="9" t="n">
        <v>280</v>
      </c>
      <c r="G73" s="9" t="n">
        <v>280</v>
      </c>
      <c r="H73" s="9" t="n">
        <v>280</v>
      </c>
      <c r="I73" s="9" t="n">
        <v>280</v>
      </c>
      <c r="J73" s="9" t="n">
        <v>280</v>
      </c>
      <c r="K73" s="9" t="n">
        <v>280</v>
      </c>
      <c r="L73" s="9" t="n">
        <v>280</v>
      </c>
      <c r="M73" s="9" t="n">
        <v>280</v>
      </c>
      <c r="N73" s="9" t="n">
        <v>280</v>
      </c>
      <c r="O73" s="10" t="n">
        <f aca="false">SUM(C73:N73)</f>
        <v>3360</v>
      </c>
    </row>
    <row r="74" customFormat="false" ht="15" hidden="false" customHeight="false" outlineLevel="0" collapsed="false">
      <c r="A74" s="7" t="s">
        <v>137</v>
      </c>
      <c r="B74" s="8" t="s">
        <v>138</v>
      </c>
      <c r="C74" s="9" t="n">
        <v>1650</v>
      </c>
      <c r="D74" s="9" t="n">
        <v>1650</v>
      </c>
      <c r="E74" s="9" t="n">
        <v>1650</v>
      </c>
      <c r="F74" s="9" t="n">
        <v>1650</v>
      </c>
      <c r="G74" s="9" t="n">
        <v>1650</v>
      </c>
      <c r="H74" s="9" t="n">
        <v>1650</v>
      </c>
      <c r="I74" s="9" t="n">
        <v>1650</v>
      </c>
      <c r="J74" s="9" t="n">
        <v>1650</v>
      </c>
      <c r="K74" s="9" t="n">
        <v>1650</v>
      </c>
      <c r="L74" s="9" t="n">
        <v>1650</v>
      </c>
      <c r="M74" s="9" t="n">
        <v>1650</v>
      </c>
      <c r="N74" s="9" t="n">
        <v>1650</v>
      </c>
      <c r="O74" s="10" t="n">
        <f aca="false">SUM(C74:N74)</f>
        <v>19800</v>
      </c>
    </row>
    <row r="75" customFormat="false" ht="15" hidden="false" customHeight="false" outlineLevel="0" collapsed="false">
      <c r="A75" s="7" t="s">
        <v>139</v>
      </c>
      <c r="B75" s="8" t="s">
        <v>140</v>
      </c>
      <c r="C75" s="9" t="n">
        <v>449</v>
      </c>
      <c r="D75" s="9" t="n">
        <v>394</v>
      </c>
      <c r="E75" s="9" t="n">
        <v>409</v>
      </c>
      <c r="F75" s="9" t="n">
        <v>430</v>
      </c>
      <c r="G75" s="9" t="n">
        <v>393</v>
      </c>
      <c r="H75" s="9" t="n">
        <v>436</v>
      </c>
      <c r="I75" s="9" t="n">
        <v>390</v>
      </c>
      <c r="J75" s="9" t="n">
        <v>401</v>
      </c>
      <c r="K75" s="9" t="n">
        <v>443</v>
      </c>
      <c r="L75" s="9" t="n">
        <v>393</v>
      </c>
      <c r="M75" s="9" t="n">
        <v>442</v>
      </c>
      <c r="N75" s="9" t="n">
        <v>400</v>
      </c>
      <c r="O75" s="10" t="n">
        <f aca="false">SUM(C75:N75)</f>
        <v>4980</v>
      </c>
    </row>
    <row r="76" customFormat="false" ht="15" hidden="false" customHeight="false" outlineLevel="0" collapsed="false">
      <c r="A76" s="7" t="s">
        <v>141</v>
      </c>
      <c r="B76" s="8" t="s">
        <v>142</v>
      </c>
      <c r="C76" s="9" t="n">
        <v>134</v>
      </c>
      <c r="D76" s="9" t="n">
        <v>105</v>
      </c>
      <c r="E76" s="9" t="n">
        <v>228</v>
      </c>
      <c r="F76" s="9" t="n">
        <v>221</v>
      </c>
      <c r="G76" s="9" t="n">
        <v>60</v>
      </c>
      <c r="H76" s="9" t="n">
        <v>92</v>
      </c>
      <c r="I76" s="9" t="n">
        <v>171</v>
      </c>
      <c r="J76" s="9" t="n">
        <v>319</v>
      </c>
      <c r="K76" s="9" t="n">
        <v>168</v>
      </c>
      <c r="L76" s="9" t="n">
        <v>227</v>
      </c>
      <c r="M76" s="9" t="n">
        <v>282</v>
      </c>
      <c r="N76" s="9" t="n">
        <v>237</v>
      </c>
      <c r="O76" s="10" t="n">
        <f aca="false">SUM(C76:N76)</f>
        <v>2244</v>
      </c>
    </row>
    <row r="77" customFormat="false" ht="15" hidden="false" customHeight="false" outlineLevel="0" collapsed="false">
      <c r="B77" s="11" t="s">
        <v>143</v>
      </c>
      <c r="C77" s="12" t="n">
        <f aca="false">C23+C24+C25+C26+C27+C28+C29+C30+C31+C33+C34+C35+C37+C38+C39+C40+C42+C43+C44+C45+C47+C48+C49+C50+C52+C53+C54+C56+C57+C59+C60+C61+C63+C64+C65+C67+C68+C69+C70+C71+C72+C73+C74+C75+C76</f>
        <v>89530</v>
      </c>
      <c r="D77" s="12" t="n">
        <f aca="false">D23+D24+D25+D26+D27+D28+D29+D30+D31+D33+D34+D35+D37+D38+D39+D40+D42+D43+D44+D45+D47+D48+D49+D50+D52+D53+D54+D56+D57+D59+D60+D61+D63+D64+D65+D67+D68+D69+D70+D71+D72+D73+D74+D75+D76</f>
        <v>86864</v>
      </c>
      <c r="E77" s="12" t="n">
        <f aca="false">E23+E24+E25+E26+E27+E28+E29+E30+E31+E33+E34+E35+E37+E38+E39+E40+E42+E43+E44+E45+E47+E48+E49+E50+E52+E53+E54+E56+E57+E59+E60+E61+E63+E64+E65+E67+E68+E69+E70+E71+E72+E73+E74+E75+E76</f>
        <v>94614</v>
      </c>
      <c r="F77" s="12" t="n">
        <f aca="false">F23+F24+F25+F26+F27+F28+F29+F30+F31+F33+F34+F35+F37+F38+F39+F40+F42+F43+F44+F45+F47+F48+F49+F50+F52+F53+F54+F56+F57+F59+F60+F61+F63+F64+F65+F67+F68+F69+F70+F71+F72+F73+F74+F75+F76</f>
        <v>96101</v>
      </c>
      <c r="G77" s="12" t="n">
        <f aca="false">G23+G24+G25+G26+G27+G28+G29+G30+G31+G33+G34+G35+G37+G38+G39+G40+G42+G43+G44+G45+G47+G48+G49+G50+G52+G53+G54+G56+G57+G59+G60+G61+G63+G64+G65+G67+G68+G69+G70+G71+G72+G73+G74+G75+G76</f>
        <v>102064</v>
      </c>
      <c r="H77" s="12" t="n">
        <f aca="false">H23+H24+H25+H26+H27+H28+H29+H30+H31+H33+H34+H35+H37+H38+H39+H40+H42+H43+H44+H45+H47+H48+H49+H50+H52+H53+H54+H56+H57+H59+H60+H61+H63+H64+H65+H67+H68+H69+H70+H71+H72+H73+H74+H75+H76</f>
        <v>108586</v>
      </c>
      <c r="I77" s="12" t="n">
        <f aca="false">I23+I24+I25+I26+I27+I28+I29+I30+I31+I33+I34+I35+I37+I38+I39+I40+I42+I43+I44+I45+I47+I48+I49+I50+I52+I53+I54+I56+I57+I59+I60+I61+I63+I64+I65+I67+I68+I69+I70+I71+I72+I73+I74+I75+I76</f>
        <v>114795</v>
      </c>
      <c r="J77" s="12" t="n">
        <f aca="false">J23+J24+J25+J26+J27+J28+J29+J30+J31+J33+J34+J35+J37+J38+J39+J40+J42+J43+J44+J45+J47+J48+J49+J50+J52+J53+J54+J56+J57+J59+J60+J61+J63+J64+J65+J67+J68+J69+J70+J71+J72+J73+J74+J75+J76</f>
        <v>106488</v>
      </c>
      <c r="K77" s="12" t="n">
        <f aca="false">K23+K24+K25+K26+K27+K28+K29+K30+K31+K33+K34+K35+K37+K38+K39+K40+K42+K43+K44+K45+K47+K48+K49+K50+K52+K53+K54+K56+K57+K59+K60+K61+K63+K64+K65+K67+K68+K69+K70+K71+K72+K73+K74+K75+K76</f>
        <v>97488</v>
      </c>
      <c r="L77" s="12" t="n">
        <f aca="false">L23+L24+L25+L26+L27+L28+L29+L30+L31+L33+L34+L35+L37+L38+L39+L40+L42+L43+L44+L45+L47+L48+L49+L50+L52+L53+L54+L56+L57+L59+L60+L61+L63+L64+L65+L67+L68+L69+L70+L71+L72+L73+L74+L75+L76</f>
        <v>91811</v>
      </c>
      <c r="M77" s="12" t="n">
        <f aca="false">M23+M24+M25+M26+M27+M28+M29+M30+M31+M33+M34+M35+M37+M38+M39+M40+M42+M43+M44+M45+M47+M48+M49+M50+M52+M53+M54+M56+M57+M59+M60+M61+M63+M64+M65+M67+M68+M69+M70+M71+M72+M73+M74+M75+M76</f>
        <v>87184</v>
      </c>
      <c r="N77" s="12" t="n">
        <f aca="false">N23+N24+N25+N26+N27+N28+N29+N30+N31+N33+N34+N35+N37+N38+N39+N40+N42+N43+N44+N45+N47+N48+N49+N50+N52+N53+N54+N56+N57+N59+N60+N61+N63+N64+N65+N67+N68+N69+N70+N71+N72+N73+N74+N75+N76</f>
        <v>105385</v>
      </c>
      <c r="O77" s="12" t="n">
        <f aca="false">O23+O24+O25+O26+O27+O28+O29+O30+O31+O33+O34+O35+O37+O38+O39+O40+O42+O43+O44+O45+O47+O48+O49+O50+O52+O53+O54+O56+O57+O59+O60+O61+O63+O64+O65+O67+O68+O69+O70+O71+O72+O73+O74+O75+O76</f>
        <v>1180910</v>
      </c>
    </row>
    <row r="78" customFormat="false" ht="15" hidden="false" customHeight="false" outlineLevel="0" collapsed="false">
      <c r="B78" s="11" t="s">
        <v>144</v>
      </c>
      <c r="C78" s="12" t="n">
        <f aca="false">C20-C77</f>
        <v>-17272</v>
      </c>
      <c r="D78" s="12" t="n">
        <f aca="false">D20-D77</f>
        <v>-20595</v>
      </c>
      <c r="E78" s="12" t="n">
        <f aca="false">E20-E77</f>
        <v>-12973</v>
      </c>
      <c r="F78" s="12" t="n">
        <f aca="false">F20-F77</f>
        <v>-7527</v>
      </c>
      <c r="G78" s="12" t="n">
        <f aca="false">G20-G77</f>
        <v>2501</v>
      </c>
      <c r="H78" s="12" t="n">
        <f aca="false">H20-H77</f>
        <v>12367</v>
      </c>
      <c r="I78" s="12" t="n">
        <f aca="false">I20-I77</f>
        <v>13485</v>
      </c>
      <c r="J78" s="12" t="n">
        <f aca="false">J20-J77</f>
        <v>8556</v>
      </c>
      <c r="K78" s="12" t="n">
        <f aca="false">K20-K77</f>
        <v>-5973</v>
      </c>
      <c r="L78" s="12" t="n">
        <f aca="false">L20-L77</f>
        <v>-11635</v>
      </c>
      <c r="M78" s="12" t="n">
        <f aca="false">M20-M77</f>
        <v>-16434</v>
      </c>
      <c r="N78" s="12" t="n">
        <f aca="false">N20-N77</f>
        <v>-15752</v>
      </c>
      <c r="O78" s="12" t="n">
        <f aca="false">O20-O77</f>
        <v>-71252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8"/>
    <col collapsed="false" customWidth="true" hidden="false" outlineLevel="0" max="14" min="3" style="1" width="12"/>
    <col collapsed="false" customWidth="true" hidden="false" outlineLevel="0" max="15" min="15" style="1" width="14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4" t="s">
        <v>145</v>
      </c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146</v>
      </c>
      <c r="D5" s="5" t="s">
        <v>147</v>
      </c>
      <c r="E5" s="5" t="s">
        <v>148</v>
      </c>
      <c r="F5" s="5" t="s">
        <v>149</v>
      </c>
      <c r="G5" s="5" t="s">
        <v>150</v>
      </c>
      <c r="H5" s="5" t="s">
        <v>151</v>
      </c>
      <c r="I5" s="5" t="s">
        <v>152</v>
      </c>
      <c r="J5" s="5" t="s">
        <v>153</v>
      </c>
      <c r="K5" s="5" t="s">
        <v>154</v>
      </c>
      <c r="L5" s="5" t="s">
        <v>155</v>
      </c>
      <c r="M5" s="5" t="s">
        <v>156</v>
      </c>
      <c r="N5" s="5" t="s">
        <v>157</v>
      </c>
      <c r="O5" s="5" t="s">
        <v>158</v>
      </c>
    </row>
    <row r="6" customFormat="false" ht="15" hidden="false" customHeight="false" outlineLevel="0" collapsed="false">
      <c r="A6" s="6"/>
      <c r="B6" s="6" t="s">
        <v>18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15" hidden="false" customHeight="false" outlineLevel="0" collapsed="false">
      <c r="A7" s="7" t="s">
        <v>19</v>
      </c>
      <c r="B7" s="8" t="s">
        <v>20</v>
      </c>
      <c r="C7" s="9" t="n">
        <v>-634</v>
      </c>
      <c r="D7" s="9" t="n">
        <v>-491</v>
      </c>
      <c r="E7" s="9" t="n">
        <v>-680</v>
      </c>
      <c r="F7" s="9" t="n">
        <v>-688</v>
      </c>
      <c r="G7" s="9" t="n">
        <v>-922</v>
      </c>
      <c r="H7" s="9" t="n">
        <v>-1091</v>
      </c>
      <c r="I7" s="9" t="n">
        <v>-1123</v>
      </c>
      <c r="J7" s="9" t="n">
        <v>-957</v>
      </c>
      <c r="K7" s="9" t="n">
        <v>-859</v>
      </c>
      <c r="L7" s="9" t="n">
        <v>-653</v>
      </c>
      <c r="M7" s="9" t="n">
        <v>-620</v>
      </c>
      <c r="N7" s="9" t="n">
        <v>-771</v>
      </c>
      <c r="O7" s="10" t="n">
        <f aca="false">SUM(C7:N7)</f>
        <v>-9489</v>
      </c>
    </row>
    <row r="8" customFormat="false" ht="15" hidden="false" customHeight="false" outlineLevel="0" collapsed="false">
      <c r="A8" s="7" t="s">
        <v>21</v>
      </c>
      <c r="B8" s="8" t="s">
        <v>22</v>
      </c>
      <c r="C8" s="9" t="n">
        <v>890</v>
      </c>
      <c r="D8" s="9" t="n">
        <v>834</v>
      </c>
      <c r="E8" s="9" t="n">
        <v>829</v>
      </c>
      <c r="F8" s="9" t="n">
        <v>763</v>
      </c>
      <c r="G8" s="9" t="n">
        <v>775</v>
      </c>
      <c r="H8" s="9" t="n">
        <v>777</v>
      </c>
      <c r="I8" s="9" t="n">
        <v>878</v>
      </c>
      <c r="J8" s="9" t="n">
        <v>753</v>
      </c>
      <c r="K8" s="9" t="n">
        <v>872</v>
      </c>
      <c r="L8" s="9" t="n">
        <v>800</v>
      </c>
      <c r="M8" s="9" t="n">
        <v>865</v>
      </c>
      <c r="N8" s="9" t="n">
        <v>820</v>
      </c>
      <c r="O8" s="10" t="n">
        <f aca="false">SUM(C8:N8)</f>
        <v>9856</v>
      </c>
    </row>
    <row r="9" customFormat="false" ht="15" hidden="false" customHeight="false" outlineLevel="0" collapsed="false">
      <c r="A9" s="7" t="s">
        <v>23</v>
      </c>
      <c r="B9" s="8" t="s">
        <v>24</v>
      </c>
      <c r="C9" s="9" t="n">
        <v>1937</v>
      </c>
      <c r="D9" s="9" t="n">
        <v>1669</v>
      </c>
      <c r="E9" s="9" t="n">
        <v>2058</v>
      </c>
      <c r="F9" s="9" t="n">
        <v>2291</v>
      </c>
      <c r="G9" s="9" t="n">
        <v>2957</v>
      </c>
      <c r="H9" s="9" t="n">
        <v>3289</v>
      </c>
      <c r="I9" s="9" t="n">
        <v>3706</v>
      </c>
      <c r="J9" s="9" t="n">
        <v>3428</v>
      </c>
      <c r="K9" s="9" t="n">
        <v>2445</v>
      </c>
      <c r="L9" s="9" t="n">
        <v>2160</v>
      </c>
      <c r="M9" s="9" t="n">
        <v>1871</v>
      </c>
      <c r="N9" s="9" t="n">
        <v>4431</v>
      </c>
      <c r="O9" s="10" t="n">
        <f aca="false">SUM(C9:N9)</f>
        <v>32242</v>
      </c>
    </row>
    <row r="10" customFormat="false" ht="15" hidden="false" customHeight="false" outlineLevel="0" collapsed="false">
      <c r="A10" s="6"/>
      <c r="B10" s="6" t="s">
        <v>25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customFormat="false" ht="15" hidden="false" customHeight="false" outlineLevel="0" collapsed="false">
      <c r="A11" s="7" t="s">
        <v>26</v>
      </c>
      <c r="B11" s="8" t="s">
        <v>27</v>
      </c>
      <c r="C11" s="9" t="n">
        <v>31194</v>
      </c>
      <c r="D11" s="9" t="n">
        <v>27605</v>
      </c>
      <c r="E11" s="9" t="n">
        <v>35666</v>
      </c>
      <c r="F11" s="9" t="n">
        <v>38775</v>
      </c>
      <c r="G11" s="9" t="n">
        <v>48968</v>
      </c>
      <c r="H11" s="9" t="n">
        <v>57664</v>
      </c>
      <c r="I11" s="9" t="n">
        <v>61617</v>
      </c>
      <c r="J11" s="9" t="n">
        <v>54562</v>
      </c>
      <c r="K11" s="9" t="n">
        <v>41972</v>
      </c>
      <c r="L11" s="9" t="n">
        <v>35554</v>
      </c>
      <c r="M11" s="9" t="n">
        <v>30389</v>
      </c>
      <c r="N11" s="9" t="n">
        <v>39963</v>
      </c>
      <c r="O11" s="10" t="n">
        <f aca="false">SUM(C11:N11)</f>
        <v>503929</v>
      </c>
    </row>
    <row r="12" customFormat="false" ht="15" hidden="false" customHeight="false" outlineLevel="0" collapsed="false">
      <c r="A12" s="7" t="s">
        <v>28</v>
      </c>
      <c r="B12" s="8" t="s">
        <v>29</v>
      </c>
      <c r="C12" s="9" t="n">
        <v>19390</v>
      </c>
      <c r="D12" s="9" t="n">
        <v>17664</v>
      </c>
      <c r="E12" s="9" t="n">
        <v>21340</v>
      </c>
      <c r="F12" s="9" t="n">
        <v>23939</v>
      </c>
      <c r="G12" s="9" t="n">
        <v>28019</v>
      </c>
      <c r="H12" s="9" t="n">
        <v>31951</v>
      </c>
      <c r="I12" s="9" t="n">
        <v>34287</v>
      </c>
      <c r="J12" s="9" t="n">
        <v>30894</v>
      </c>
      <c r="K12" s="9" t="n">
        <v>24677</v>
      </c>
      <c r="L12" s="9" t="n">
        <v>21380</v>
      </c>
      <c r="M12" s="9" t="n">
        <v>18314</v>
      </c>
      <c r="N12" s="9" t="n">
        <v>23460</v>
      </c>
      <c r="O12" s="10" t="n">
        <f aca="false">SUM(C12:N12)</f>
        <v>295315</v>
      </c>
    </row>
    <row r="13" customFormat="false" ht="15" hidden="false" customHeight="false" outlineLevel="0" collapsed="false">
      <c r="A13" s="7" t="s">
        <v>30</v>
      </c>
      <c r="B13" s="8" t="s">
        <v>31</v>
      </c>
      <c r="C13" s="9" t="n">
        <v>9353</v>
      </c>
      <c r="D13" s="9" t="n">
        <v>9072</v>
      </c>
      <c r="E13" s="9" t="n">
        <v>10787</v>
      </c>
      <c r="F13" s="9" t="n">
        <v>11229</v>
      </c>
      <c r="G13" s="9" t="n">
        <v>12528</v>
      </c>
      <c r="H13" s="9" t="n">
        <v>14035</v>
      </c>
      <c r="I13" s="9" t="n">
        <v>14503</v>
      </c>
      <c r="J13" s="9" t="n">
        <v>13487</v>
      </c>
      <c r="K13" s="9" t="n">
        <v>11079</v>
      </c>
      <c r="L13" s="9" t="n">
        <v>10079</v>
      </c>
      <c r="M13" s="9" t="n">
        <v>9048</v>
      </c>
      <c r="N13" s="9" t="n">
        <v>11891</v>
      </c>
      <c r="O13" s="10" t="n">
        <f aca="false">SUM(C13:N13)</f>
        <v>137091</v>
      </c>
    </row>
    <row r="14" customFormat="false" ht="15" hidden="false" customHeight="false" outlineLevel="0" collapsed="false">
      <c r="A14" s="7" t="s">
        <v>32</v>
      </c>
      <c r="B14" s="8" t="s">
        <v>33</v>
      </c>
      <c r="C14" s="9" t="n">
        <v>15104</v>
      </c>
      <c r="D14" s="9" t="n">
        <v>13683</v>
      </c>
      <c r="E14" s="9" t="n">
        <v>16117</v>
      </c>
      <c r="F14" s="9" t="n">
        <v>17023</v>
      </c>
      <c r="G14" s="9" t="n">
        <v>19273</v>
      </c>
      <c r="H14" s="9" t="n">
        <v>20316</v>
      </c>
      <c r="I14" s="9" t="n">
        <v>21531</v>
      </c>
      <c r="J14" s="9" t="n">
        <v>19283</v>
      </c>
      <c r="K14" s="9" t="n">
        <v>17088</v>
      </c>
      <c r="L14" s="9" t="n">
        <v>15545</v>
      </c>
      <c r="M14" s="9" t="n">
        <v>14041</v>
      </c>
      <c r="N14" s="9" t="n">
        <v>17337</v>
      </c>
      <c r="O14" s="10" t="n">
        <f aca="false">SUM(C14:N14)</f>
        <v>206341</v>
      </c>
    </row>
    <row r="15" customFormat="false" ht="15" hidden="false" customHeight="false" outlineLevel="0" collapsed="false">
      <c r="A15" s="7" t="s">
        <v>34</v>
      </c>
      <c r="B15" s="8" t="s">
        <v>35</v>
      </c>
      <c r="C15" s="9" t="n">
        <v>2957</v>
      </c>
      <c r="D15" s="9" t="n">
        <v>2648</v>
      </c>
      <c r="E15" s="9" t="n">
        <v>3405</v>
      </c>
      <c r="F15" s="9" t="n">
        <v>3380</v>
      </c>
      <c r="G15" s="9" t="n">
        <v>3841</v>
      </c>
      <c r="H15" s="9" t="n">
        <v>4086</v>
      </c>
      <c r="I15" s="9" t="n">
        <v>4088</v>
      </c>
      <c r="J15" s="9" t="n">
        <v>3753</v>
      </c>
      <c r="K15" s="9" t="n">
        <v>3353</v>
      </c>
      <c r="L15" s="9" t="n">
        <v>3073</v>
      </c>
      <c r="M15" s="9" t="n">
        <v>2772</v>
      </c>
      <c r="N15" s="9" t="n">
        <v>3513</v>
      </c>
      <c r="O15" s="10" t="n">
        <f aca="false">SUM(C15:N15)</f>
        <v>40869</v>
      </c>
    </row>
    <row r="16" customFormat="false" ht="15" hidden="false" customHeight="false" outlineLevel="0" collapsed="false">
      <c r="B16" s="11" t="s">
        <v>36</v>
      </c>
      <c r="C16" s="12" t="n">
        <f aca="false">C7+C8+C9+C11+C12+C13+C14+C15</f>
        <v>80191</v>
      </c>
      <c r="D16" s="12" t="n">
        <f aca="false">D7+D8+D9+D11+D12+D13+D14+D15</f>
        <v>72684</v>
      </c>
      <c r="E16" s="12" t="n">
        <f aca="false">E7+E8+E9+E11+E12+E13+E14+E15</f>
        <v>89522</v>
      </c>
      <c r="F16" s="12" t="n">
        <f aca="false">F7+F8+F9+F11+F12+F13+F14+F15</f>
        <v>96712</v>
      </c>
      <c r="G16" s="12" t="n">
        <f aca="false">G7+G8+G9+G11+G12+G13+G14+G15</f>
        <v>115439</v>
      </c>
      <c r="H16" s="12" t="n">
        <f aca="false">H7+H8+H9+H11+H12+H13+H14+H15</f>
        <v>131027</v>
      </c>
      <c r="I16" s="12" t="n">
        <f aca="false">I7+I8+I9+I11+I12+I13+I14+I15</f>
        <v>139487</v>
      </c>
      <c r="J16" s="12" t="n">
        <f aca="false">J7+J8+J9+J11+J12+J13+J14+J15</f>
        <v>125203</v>
      </c>
      <c r="K16" s="12" t="n">
        <f aca="false">K7+K8+K9+K11+K12+K13+K14+K15</f>
        <v>100627</v>
      </c>
      <c r="L16" s="12" t="n">
        <f aca="false">L7+L8+L9+L11+L12+L13+L14+L15</f>
        <v>87938</v>
      </c>
      <c r="M16" s="12" t="n">
        <f aca="false">M7+M8+M9+M11+M12+M13+M14+M15</f>
        <v>76680</v>
      </c>
      <c r="N16" s="12" t="n">
        <f aca="false">N7+N8+N9+N11+N12+N13+N14+N15</f>
        <v>100644</v>
      </c>
      <c r="O16" s="12" t="n">
        <f aca="false">O7+O8+O9+O11+O12+O13+O14+O15</f>
        <v>1216154</v>
      </c>
    </row>
    <row r="17" customFormat="false" ht="15" hidden="false" customHeight="false" outlineLevel="0" collapsed="false">
      <c r="A17" s="6"/>
      <c r="B17" s="6" t="s">
        <v>37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customFormat="false" ht="15" hidden="false" customHeight="false" outlineLevel="0" collapsed="false">
      <c r="A18" s="7" t="s">
        <v>38</v>
      </c>
      <c r="B18" s="8" t="s">
        <v>39</v>
      </c>
      <c r="C18" s="9" t="n">
        <v>1012</v>
      </c>
      <c r="D18" s="9" t="n">
        <v>849</v>
      </c>
      <c r="E18" s="9" t="n">
        <v>1079</v>
      </c>
      <c r="F18" s="9" t="n">
        <v>1231</v>
      </c>
      <c r="G18" s="9" t="n">
        <v>1500</v>
      </c>
      <c r="H18" s="9" t="n">
        <v>1743</v>
      </c>
      <c r="I18" s="9" t="n">
        <v>1881</v>
      </c>
      <c r="J18" s="9" t="n">
        <v>1709</v>
      </c>
      <c r="K18" s="9" t="n">
        <v>1327</v>
      </c>
      <c r="L18" s="9" t="n">
        <v>1117</v>
      </c>
      <c r="M18" s="9" t="n">
        <v>992</v>
      </c>
      <c r="N18" s="9" t="n">
        <v>2322</v>
      </c>
      <c r="O18" s="10" t="n">
        <f aca="false">SUM(C18:N18)</f>
        <v>16762</v>
      </c>
    </row>
    <row r="19" customFormat="false" ht="15" hidden="false" customHeight="false" outlineLevel="0" collapsed="false">
      <c r="B19" s="11" t="s">
        <v>40</v>
      </c>
      <c r="C19" s="12" t="n">
        <f aca="false">C18</f>
        <v>1012</v>
      </c>
      <c r="D19" s="12" t="n">
        <f aca="false">D18</f>
        <v>849</v>
      </c>
      <c r="E19" s="12" t="n">
        <f aca="false">E18</f>
        <v>1079</v>
      </c>
      <c r="F19" s="12" t="n">
        <f aca="false">F18</f>
        <v>1231</v>
      </c>
      <c r="G19" s="12" t="n">
        <f aca="false">G18</f>
        <v>1500</v>
      </c>
      <c r="H19" s="12" t="n">
        <f aca="false">H18</f>
        <v>1743</v>
      </c>
      <c r="I19" s="12" t="n">
        <f aca="false">I18</f>
        <v>1881</v>
      </c>
      <c r="J19" s="12" t="n">
        <f aca="false">J18</f>
        <v>1709</v>
      </c>
      <c r="K19" s="12" t="n">
        <f aca="false">K18</f>
        <v>1327</v>
      </c>
      <c r="L19" s="12" t="n">
        <f aca="false">L18</f>
        <v>1117</v>
      </c>
      <c r="M19" s="12" t="n">
        <f aca="false">M18</f>
        <v>992</v>
      </c>
      <c r="N19" s="12" t="n">
        <f aca="false">N18</f>
        <v>2322</v>
      </c>
      <c r="O19" s="12" t="n">
        <f aca="false">O18</f>
        <v>16762</v>
      </c>
    </row>
    <row r="20" customFormat="false" ht="15" hidden="false" customHeight="false" outlineLevel="0" collapsed="false">
      <c r="B20" s="11" t="s">
        <v>41</v>
      </c>
      <c r="C20" s="12" t="n">
        <f aca="false">C16-C19</f>
        <v>79179</v>
      </c>
      <c r="D20" s="12" t="n">
        <f aca="false">D16-D19</f>
        <v>71835</v>
      </c>
      <c r="E20" s="12" t="n">
        <f aca="false">E16-E19</f>
        <v>88443</v>
      </c>
      <c r="F20" s="12" t="n">
        <f aca="false">F16-F19</f>
        <v>95481</v>
      </c>
      <c r="G20" s="12" t="n">
        <f aca="false">G16-G19</f>
        <v>113939</v>
      </c>
      <c r="H20" s="12" t="n">
        <f aca="false">H16-H19</f>
        <v>129284</v>
      </c>
      <c r="I20" s="12" t="n">
        <f aca="false">I16-I19</f>
        <v>137606</v>
      </c>
      <c r="J20" s="12" t="n">
        <f aca="false">J16-J19</f>
        <v>123494</v>
      </c>
      <c r="K20" s="12" t="n">
        <f aca="false">K16-K19</f>
        <v>99300</v>
      </c>
      <c r="L20" s="12" t="n">
        <f aca="false">L16-L19</f>
        <v>86821</v>
      </c>
      <c r="M20" s="12" t="n">
        <f aca="false">M16-M19</f>
        <v>75688</v>
      </c>
      <c r="N20" s="12" t="n">
        <f aca="false">N16-N19</f>
        <v>98322</v>
      </c>
      <c r="O20" s="12" t="n">
        <f aca="false">O16-O19</f>
        <v>1199392</v>
      </c>
    </row>
    <row r="21" customFormat="false" ht="15" hidden="false" customHeight="false" outlineLevel="0" collapsed="false">
      <c r="A21" s="6"/>
      <c r="B21" s="6" t="s">
        <v>42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customFormat="false" ht="15" hidden="false" customHeight="false" outlineLevel="0" collapsed="false">
      <c r="A22" s="6"/>
      <c r="B22" s="6" t="s">
        <v>43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customFormat="false" ht="15" hidden="false" customHeight="false" outlineLevel="0" collapsed="false">
      <c r="A23" s="7" t="s">
        <v>44</v>
      </c>
      <c r="B23" s="8" t="s">
        <v>45</v>
      </c>
      <c r="C23" s="9" t="n">
        <v>11690</v>
      </c>
      <c r="D23" s="9" t="n">
        <v>10781</v>
      </c>
      <c r="E23" s="9" t="n">
        <v>13204</v>
      </c>
      <c r="F23" s="9" t="n">
        <v>13485</v>
      </c>
      <c r="G23" s="9" t="n">
        <v>15083</v>
      </c>
      <c r="H23" s="9" t="n">
        <v>16567</v>
      </c>
      <c r="I23" s="9" t="n">
        <v>17443</v>
      </c>
      <c r="J23" s="9" t="n">
        <v>15859</v>
      </c>
      <c r="K23" s="9" t="n">
        <v>13479</v>
      </c>
      <c r="L23" s="9" t="n">
        <v>12036</v>
      </c>
      <c r="M23" s="9" t="n">
        <v>11154</v>
      </c>
      <c r="N23" s="9" t="n">
        <v>14192</v>
      </c>
      <c r="O23" s="10" t="n">
        <f aca="false">SUM(C23:N23)</f>
        <v>164973</v>
      </c>
    </row>
    <row r="24" customFormat="false" ht="15" hidden="false" customHeight="false" outlineLevel="0" collapsed="false">
      <c r="A24" s="7" t="s">
        <v>46</v>
      </c>
      <c r="B24" s="8" t="s">
        <v>47</v>
      </c>
      <c r="C24" s="9" t="n">
        <v>15081</v>
      </c>
      <c r="D24" s="9" t="n">
        <v>13454</v>
      </c>
      <c r="E24" s="9" t="n">
        <v>17444</v>
      </c>
      <c r="F24" s="9" t="n">
        <v>19030</v>
      </c>
      <c r="G24" s="9" t="n">
        <v>22660</v>
      </c>
      <c r="H24" s="9" t="n">
        <v>27093</v>
      </c>
      <c r="I24" s="9" t="n">
        <v>29275</v>
      </c>
      <c r="J24" s="9" t="n">
        <v>25586</v>
      </c>
      <c r="K24" s="9" t="n">
        <v>19825</v>
      </c>
      <c r="L24" s="9" t="n">
        <v>16886</v>
      </c>
      <c r="M24" s="9" t="n">
        <v>14716</v>
      </c>
      <c r="N24" s="9" t="n">
        <v>18865</v>
      </c>
      <c r="O24" s="10" t="n">
        <f aca="false">SUM(C24:N24)</f>
        <v>239915</v>
      </c>
    </row>
    <row r="25" customFormat="false" ht="15" hidden="false" customHeight="false" outlineLevel="0" collapsed="false">
      <c r="A25" s="7" t="s">
        <v>48</v>
      </c>
      <c r="B25" s="8" t="s">
        <v>49</v>
      </c>
      <c r="C25" s="9" t="n">
        <v>52</v>
      </c>
      <c r="D25" s="9" t="n">
        <v>260</v>
      </c>
      <c r="E25" s="9" t="n">
        <v>9</v>
      </c>
      <c r="F25" s="9" t="n">
        <v>378</v>
      </c>
      <c r="G25" s="9" t="n">
        <v>261</v>
      </c>
      <c r="H25" s="9" t="n">
        <v>72</v>
      </c>
      <c r="I25" s="9" t="n">
        <v>212</v>
      </c>
      <c r="J25" s="9" t="n">
        <v>106</v>
      </c>
      <c r="K25" s="9" t="n">
        <v>177</v>
      </c>
      <c r="L25" s="9" t="n">
        <v>331</v>
      </c>
      <c r="M25" s="9" t="n">
        <v>332</v>
      </c>
      <c r="N25" s="9" t="n">
        <v>241</v>
      </c>
      <c r="O25" s="10" t="n">
        <f aca="false">SUM(C25:N25)</f>
        <v>2431</v>
      </c>
    </row>
    <row r="26" customFormat="false" ht="15" hidden="false" customHeight="false" outlineLevel="0" collapsed="false">
      <c r="A26" s="7" t="s">
        <v>50</v>
      </c>
      <c r="B26" s="8" t="s">
        <v>51</v>
      </c>
      <c r="C26" s="9" t="n">
        <v>12000</v>
      </c>
      <c r="D26" s="9" t="n">
        <v>12000</v>
      </c>
      <c r="E26" s="9" t="n">
        <v>12000</v>
      </c>
      <c r="F26" s="9" t="n">
        <v>12000</v>
      </c>
      <c r="G26" s="9" t="n">
        <v>12000</v>
      </c>
      <c r="H26" s="9" t="n">
        <v>12000</v>
      </c>
      <c r="I26" s="9" t="n">
        <v>12000</v>
      </c>
      <c r="J26" s="9" t="n">
        <v>12000</v>
      </c>
      <c r="K26" s="9" t="n">
        <v>12000</v>
      </c>
      <c r="L26" s="9" t="n">
        <v>12000</v>
      </c>
      <c r="M26" s="9" t="n">
        <v>12000</v>
      </c>
      <c r="N26" s="9" t="n">
        <v>12000</v>
      </c>
      <c r="O26" s="10" t="n">
        <f aca="false">SUM(C26:N26)</f>
        <v>144000</v>
      </c>
    </row>
    <row r="27" customFormat="false" ht="15" hidden="false" customHeight="false" outlineLevel="0" collapsed="false">
      <c r="A27" s="7" t="s">
        <v>52</v>
      </c>
      <c r="B27" s="8" t="s">
        <v>53</v>
      </c>
      <c r="C27" s="9" t="n">
        <v>520</v>
      </c>
      <c r="D27" s="9" t="n">
        <v>520</v>
      </c>
      <c r="E27" s="9" t="n">
        <v>520</v>
      </c>
      <c r="F27" s="9" t="n">
        <v>520</v>
      </c>
      <c r="G27" s="9" t="n">
        <v>520</v>
      </c>
      <c r="H27" s="9" t="n">
        <v>520</v>
      </c>
      <c r="I27" s="9" t="n">
        <v>520</v>
      </c>
      <c r="J27" s="9" t="n">
        <v>520</v>
      </c>
      <c r="K27" s="9" t="n">
        <v>520</v>
      </c>
      <c r="L27" s="9" t="n">
        <v>520</v>
      </c>
      <c r="M27" s="9" t="n">
        <v>520</v>
      </c>
      <c r="N27" s="9" t="n">
        <v>520</v>
      </c>
      <c r="O27" s="10" t="n">
        <f aca="false">SUM(C27:N27)</f>
        <v>6240</v>
      </c>
    </row>
    <row r="28" customFormat="false" ht="15" hidden="false" customHeight="false" outlineLevel="0" collapsed="false">
      <c r="A28" s="7" t="s">
        <v>54</v>
      </c>
      <c r="B28" s="8" t="s">
        <v>55</v>
      </c>
      <c r="C28" s="9" t="n">
        <v>7500</v>
      </c>
      <c r="D28" s="9" t="n">
        <v>7500</v>
      </c>
      <c r="E28" s="9" t="n">
        <v>7500</v>
      </c>
      <c r="F28" s="9" t="n">
        <v>7500</v>
      </c>
      <c r="G28" s="9" t="n">
        <v>7500</v>
      </c>
      <c r="H28" s="9" t="n">
        <v>7500</v>
      </c>
      <c r="I28" s="9" t="n">
        <v>7500</v>
      </c>
      <c r="J28" s="9" t="n">
        <v>7500</v>
      </c>
      <c r="K28" s="9" t="n">
        <v>7500</v>
      </c>
      <c r="L28" s="9" t="n">
        <v>7500</v>
      </c>
      <c r="M28" s="9" t="n">
        <v>7500</v>
      </c>
      <c r="N28" s="9" t="n">
        <v>7500</v>
      </c>
      <c r="O28" s="10" t="n">
        <f aca="false">SUM(C28:N28)</f>
        <v>90000</v>
      </c>
    </row>
    <row r="29" customFormat="false" ht="15" hidden="false" customHeight="false" outlineLevel="0" collapsed="false">
      <c r="A29" s="7" t="s">
        <v>56</v>
      </c>
      <c r="B29" s="8" t="s">
        <v>57</v>
      </c>
      <c r="C29" s="9" t="n">
        <v>4800</v>
      </c>
      <c r="D29" s="9" t="n">
        <v>4800</v>
      </c>
      <c r="E29" s="9" t="n">
        <v>4800</v>
      </c>
      <c r="F29" s="9" t="n">
        <v>4800</v>
      </c>
      <c r="G29" s="9" t="n">
        <v>4800</v>
      </c>
      <c r="H29" s="9" t="n">
        <v>4800</v>
      </c>
      <c r="I29" s="9" t="n">
        <v>4800</v>
      </c>
      <c r="J29" s="9" t="n">
        <v>4800</v>
      </c>
      <c r="K29" s="9" t="n">
        <v>4800</v>
      </c>
      <c r="L29" s="9" t="n">
        <v>4800</v>
      </c>
      <c r="M29" s="9" t="n">
        <v>4800</v>
      </c>
      <c r="N29" s="9" t="n">
        <v>4800</v>
      </c>
      <c r="O29" s="10" t="n">
        <f aca="false">SUM(C29:N29)</f>
        <v>57600</v>
      </c>
    </row>
    <row r="30" customFormat="false" ht="15" hidden="false" customHeight="false" outlineLevel="0" collapsed="false">
      <c r="A30" s="7" t="s">
        <v>58</v>
      </c>
      <c r="B30" s="8" t="s">
        <v>59</v>
      </c>
      <c r="C30" s="9" t="n">
        <v>3007</v>
      </c>
      <c r="D30" s="9" t="n">
        <v>2902</v>
      </c>
      <c r="E30" s="9" t="n">
        <v>3268</v>
      </c>
      <c r="F30" s="9" t="n">
        <v>3416</v>
      </c>
      <c r="G30" s="9" t="n">
        <v>3915</v>
      </c>
      <c r="H30" s="9" t="n">
        <v>4276</v>
      </c>
      <c r="I30" s="9" t="n">
        <v>4364</v>
      </c>
      <c r="J30" s="9" t="n">
        <v>4101</v>
      </c>
      <c r="K30" s="9" t="n">
        <v>3504</v>
      </c>
      <c r="L30" s="9" t="n">
        <v>3228</v>
      </c>
      <c r="M30" s="9" t="n">
        <v>2875</v>
      </c>
      <c r="N30" s="9" t="n">
        <v>3448</v>
      </c>
      <c r="O30" s="10" t="n">
        <f aca="false">SUM(C30:N30)</f>
        <v>42304</v>
      </c>
    </row>
    <row r="31" customFormat="false" ht="15" hidden="false" customHeight="false" outlineLevel="0" collapsed="false">
      <c r="A31" s="7" t="s">
        <v>60</v>
      </c>
      <c r="B31" s="8" t="s">
        <v>61</v>
      </c>
      <c r="C31" s="9" t="n">
        <v>861</v>
      </c>
      <c r="D31" s="9" t="n">
        <v>809</v>
      </c>
      <c r="E31" s="9" t="n">
        <v>925</v>
      </c>
      <c r="F31" s="9" t="n">
        <v>971</v>
      </c>
      <c r="G31" s="9" t="n">
        <v>1115</v>
      </c>
      <c r="H31" s="9" t="n">
        <v>1215</v>
      </c>
      <c r="I31" s="9" t="n">
        <v>1287</v>
      </c>
      <c r="J31" s="9" t="n">
        <v>1186</v>
      </c>
      <c r="K31" s="9" t="n">
        <v>1009</v>
      </c>
      <c r="L31" s="9" t="n">
        <v>904</v>
      </c>
      <c r="M31" s="9" t="n">
        <v>829</v>
      </c>
      <c r="N31" s="9" t="n">
        <v>998</v>
      </c>
      <c r="O31" s="10" t="n">
        <f aca="false">SUM(C31:N31)</f>
        <v>12109</v>
      </c>
    </row>
    <row r="32" customFormat="false" ht="15" hidden="false" customHeight="false" outlineLevel="0" collapsed="false">
      <c r="A32" s="6"/>
      <c r="B32" s="6" t="s">
        <v>62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customFormat="false" ht="15" hidden="false" customHeight="false" outlineLevel="0" collapsed="false">
      <c r="A33" s="7" t="s">
        <v>63</v>
      </c>
      <c r="B33" s="8" t="s">
        <v>64</v>
      </c>
      <c r="C33" s="9" t="n">
        <v>14500</v>
      </c>
      <c r="D33" s="9" t="n">
        <v>14500</v>
      </c>
      <c r="E33" s="9" t="n">
        <v>14500</v>
      </c>
      <c r="F33" s="9" t="n">
        <v>14500</v>
      </c>
      <c r="G33" s="9" t="n">
        <v>14500</v>
      </c>
      <c r="H33" s="9" t="n">
        <v>14500</v>
      </c>
      <c r="I33" s="9" t="n">
        <v>14500</v>
      </c>
      <c r="J33" s="9" t="n">
        <v>14500</v>
      </c>
      <c r="K33" s="9" t="n">
        <v>14500</v>
      </c>
      <c r="L33" s="9" t="n">
        <v>14500</v>
      </c>
      <c r="M33" s="9" t="n">
        <v>14500</v>
      </c>
      <c r="N33" s="9" t="n">
        <v>14500</v>
      </c>
      <c r="O33" s="10" t="n">
        <f aca="false">SUM(C33:N33)</f>
        <v>174000</v>
      </c>
    </row>
    <row r="34" customFormat="false" ht="15" hidden="false" customHeight="false" outlineLevel="0" collapsed="false">
      <c r="A34" s="7" t="s">
        <v>65</v>
      </c>
      <c r="B34" s="8" t="s">
        <v>66</v>
      </c>
      <c r="C34" s="9" t="n">
        <v>1450</v>
      </c>
      <c r="D34" s="9" t="n">
        <v>1450</v>
      </c>
      <c r="E34" s="9" t="n">
        <v>1450</v>
      </c>
      <c r="F34" s="9" t="n">
        <v>1450</v>
      </c>
      <c r="G34" s="9" t="n">
        <v>1450</v>
      </c>
      <c r="H34" s="9" t="n">
        <v>1450</v>
      </c>
      <c r="I34" s="9" t="n">
        <v>1450</v>
      </c>
      <c r="J34" s="9" t="n">
        <v>1450</v>
      </c>
      <c r="K34" s="9" t="n">
        <v>1450</v>
      </c>
      <c r="L34" s="9" t="n">
        <v>1450</v>
      </c>
      <c r="M34" s="9" t="n">
        <v>1450</v>
      </c>
      <c r="N34" s="9" t="n">
        <v>1450</v>
      </c>
      <c r="O34" s="10" t="n">
        <f aca="false">SUM(C34:N34)</f>
        <v>17400</v>
      </c>
    </row>
    <row r="35" customFormat="false" ht="15" hidden="false" customHeight="false" outlineLevel="0" collapsed="false">
      <c r="A35" s="7" t="s">
        <v>67</v>
      </c>
      <c r="B35" s="8" t="s">
        <v>68</v>
      </c>
      <c r="C35" s="9" t="n">
        <v>580</v>
      </c>
      <c r="D35" s="9" t="n">
        <v>580</v>
      </c>
      <c r="E35" s="9" t="n">
        <v>580</v>
      </c>
      <c r="F35" s="9" t="n">
        <v>580</v>
      </c>
      <c r="G35" s="9" t="n">
        <v>580</v>
      </c>
      <c r="H35" s="9" t="n">
        <v>580</v>
      </c>
      <c r="I35" s="9" t="n">
        <v>580</v>
      </c>
      <c r="J35" s="9" t="n">
        <v>580</v>
      </c>
      <c r="K35" s="9" t="n">
        <v>580</v>
      </c>
      <c r="L35" s="9" t="n">
        <v>580</v>
      </c>
      <c r="M35" s="9" t="n">
        <v>580</v>
      </c>
      <c r="N35" s="9" t="n">
        <v>580</v>
      </c>
      <c r="O35" s="10" t="n">
        <f aca="false">SUM(C35:N35)</f>
        <v>6960</v>
      </c>
    </row>
    <row r="36" customFormat="false" ht="15" hidden="false" customHeight="false" outlineLevel="0" collapsed="false">
      <c r="A36" s="6"/>
      <c r="B36" s="6" t="s">
        <v>69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customFormat="false" ht="15" hidden="false" customHeight="false" outlineLevel="0" collapsed="false">
      <c r="A37" s="7" t="s">
        <v>70</v>
      </c>
      <c r="B37" s="8" t="s">
        <v>71</v>
      </c>
      <c r="C37" s="9" t="n">
        <v>2792</v>
      </c>
      <c r="D37" s="9" t="n">
        <v>2826</v>
      </c>
      <c r="E37" s="9" t="n">
        <v>2595</v>
      </c>
      <c r="F37" s="9" t="n">
        <v>2775</v>
      </c>
      <c r="G37" s="9" t="n">
        <v>2528</v>
      </c>
      <c r="H37" s="9" t="n">
        <v>2359</v>
      </c>
      <c r="I37" s="9" t="n">
        <v>2476</v>
      </c>
      <c r="J37" s="9" t="n">
        <v>2425</v>
      </c>
      <c r="K37" s="9" t="n">
        <v>2740</v>
      </c>
      <c r="L37" s="9" t="n">
        <v>2546</v>
      </c>
      <c r="M37" s="9" t="n">
        <v>2832</v>
      </c>
      <c r="N37" s="9" t="n">
        <v>2696</v>
      </c>
      <c r="O37" s="10" t="n">
        <f aca="false">SUM(C37:N37)</f>
        <v>31590</v>
      </c>
    </row>
    <row r="38" customFormat="false" ht="15" hidden="false" customHeight="false" outlineLevel="0" collapsed="false">
      <c r="A38" s="7" t="s">
        <v>72</v>
      </c>
      <c r="B38" s="8" t="s">
        <v>73</v>
      </c>
      <c r="C38" s="9" t="n">
        <v>588</v>
      </c>
      <c r="D38" s="9" t="n">
        <v>499</v>
      </c>
      <c r="E38" s="9" t="n">
        <v>581</v>
      </c>
      <c r="F38" s="9" t="n">
        <v>547</v>
      </c>
      <c r="G38" s="9" t="n">
        <v>592</v>
      </c>
      <c r="H38" s="9" t="n">
        <v>664</v>
      </c>
      <c r="I38" s="9" t="n">
        <v>612</v>
      </c>
      <c r="J38" s="9" t="n">
        <v>635</v>
      </c>
      <c r="K38" s="9" t="n">
        <v>600</v>
      </c>
      <c r="L38" s="9" t="n">
        <v>525</v>
      </c>
      <c r="M38" s="9" t="n">
        <v>485</v>
      </c>
      <c r="N38" s="9" t="n">
        <v>586</v>
      </c>
      <c r="O38" s="10" t="n">
        <f aca="false">SUM(C38:N38)</f>
        <v>6914</v>
      </c>
    </row>
    <row r="39" customFormat="false" ht="15" hidden="false" customHeight="false" outlineLevel="0" collapsed="false">
      <c r="A39" s="7" t="s">
        <v>74</v>
      </c>
      <c r="B39" s="8" t="s">
        <v>75</v>
      </c>
      <c r="C39" s="9" t="n">
        <v>349</v>
      </c>
      <c r="D39" s="9" t="n">
        <v>341</v>
      </c>
      <c r="E39" s="9" t="n">
        <v>347</v>
      </c>
      <c r="F39" s="9" t="n">
        <v>420</v>
      </c>
      <c r="G39" s="9" t="n">
        <v>397</v>
      </c>
      <c r="H39" s="9" t="n">
        <v>376</v>
      </c>
      <c r="I39" s="9" t="n">
        <v>372</v>
      </c>
      <c r="J39" s="9" t="n">
        <v>354</v>
      </c>
      <c r="K39" s="9" t="n">
        <v>382</v>
      </c>
      <c r="L39" s="9" t="n">
        <v>385</v>
      </c>
      <c r="M39" s="9" t="n">
        <v>344</v>
      </c>
      <c r="N39" s="9" t="n">
        <v>347</v>
      </c>
      <c r="O39" s="10" t="n">
        <f aca="false">SUM(C39:N39)</f>
        <v>4414</v>
      </c>
    </row>
    <row r="40" customFormat="false" ht="15" hidden="false" customHeight="false" outlineLevel="0" collapsed="false">
      <c r="A40" s="7" t="s">
        <v>76</v>
      </c>
      <c r="B40" s="8" t="s">
        <v>77</v>
      </c>
      <c r="C40" s="9" t="n">
        <v>295</v>
      </c>
      <c r="D40" s="9" t="n">
        <v>295</v>
      </c>
      <c r="E40" s="9" t="n">
        <v>295</v>
      </c>
      <c r="F40" s="9" t="n">
        <v>295</v>
      </c>
      <c r="G40" s="9" t="n">
        <v>295</v>
      </c>
      <c r="H40" s="9" t="n">
        <v>295</v>
      </c>
      <c r="I40" s="9" t="n">
        <v>295</v>
      </c>
      <c r="J40" s="9" t="n">
        <v>295</v>
      </c>
      <c r="K40" s="9" t="n">
        <v>295</v>
      </c>
      <c r="L40" s="9" t="n">
        <v>295</v>
      </c>
      <c r="M40" s="9" t="n">
        <v>295</v>
      </c>
      <c r="N40" s="9" t="n">
        <v>295</v>
      </c>
      <c r="O40" s="10" t="n">
        <f aca="false">SUM(C40:N40)</f>
        <v>3540</v>
      </c>
    </row>
    <row r="41" customFormat="false" ht="15" hidden="false" customHeight="false" outlineLevel="0" collapsed="false">
      <c r="A41" s="6"/>
      <c r="B41" s="6" t="s">
        <v>78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customFormat="false" ht="15" hidden="false" customHeight="false" outlineLevel="0" collapsed="false">
      <c r="A42" s="7" t="s">
        <v>79</v>
      </c>
      <c r="B42" s="8" t="s">
        <v>80</v>
      </c>
      <c r="C42" s="9" t="n">
        <v>2128</v>
      </c>
      <c r="D42" s="9" t="n">
        <v>2211</v>
      </c>
      <c r="E42" s="9" t="n">
        <v>2438</v>
      </c>
      <c r="F42" s="9" t="n">
        <v>2488</v>
      </c>
      <c r="G42" s="9" t="n">
        <v>2026</v>
      </c>
      <c r="H42" s="9" t="n">
        <v>2416</v>
      </c>
      <c r="I42" s="9" t="n">
        <v>2116</v>
      </c>
      <c r="J42" s="9" t="n">
        <v>2265</v>
      </c>
      <c r="K42" s="9" t="n">
        <v>2399</v>
      </c>
      <c r="L42" s="9" t="n">
        <v>2213</v>
      </c>
      <c r="M42" s="9" t="n">
        <v>2361</v>
      </c>
      <c r="N42" s="9" t="n">
        <v>2376</v>
      </c>
      <c r="O42" s="10" t="n">
        <f aca="false">SUM(C42:N42)</f>
        <v>27437</v>
      </c>
    </row>
    <row r="43" customFormat="false" ht="15" hidden="false" customHeight="false" outlineLevel="0" collapsed="false">
      <c r="A43" s="7" t="s">
        <v>81</v>
      </c>
      <c r="B43" s="8" t="s">
        <v>82</v>
      </c>
      <c r="C43" s="9" t="n">
        <v>600</v>
      </c>
      <c r="D43" s="9" t="n">
        <v>600</v>
      </c>
      <c r="E43" s="9" t="n">
        <v>600</v>
      </c>
      <c r="F43" s="9" t="n">
        <v>600</v>
      </c>
      <c r="G43" s="9" t="n">
        <v>600</v>
      </c>
      <c r="H43" s="9" t="n">
        <v>600</v>
      </c>
      <c r="I43" s="9" t="n">
        <v>600</v>
      </c>
      <c r="J43" s="9" t="n">
        <v>600</v>
      </c>
      <c r="K43" s="9" t="n">
        <v>600</v>
      </c>
      <c r="L43" s="9" t="n">
        <v>600</v>
      </c>
      <c r="M43" s="9" t="n">
        <v>600</v>
      </c>
      <c r="N43" s="9" t="n">
        <v>600</v>
      </c>
      <c r="O43" s="10" t="n">
        <f aca="false">SUM(C43:N43)</f>
        <v>7200</v>
      </c>
    </row>
    <row r="44" customFormat="false" ht="15" hidden="false" customHeight="false" outlineLevel="0" collapsed="false">
      <c r="A44" s="7" t="s">
        <v>83</v>
      </c>
      <c r="B44" s="8" t="s">
        <v>84</v>
      </c>
      <c r="C44" s="9" t="n">
        <v>395</v>
      </c>
      <c r="F44" s="9" t="n">
        <v>395</v>
      </c>
      <c r="I44" s="9" t="n">
        <v>395</v>
      </c>
      <c r="L44" s="9" t="n">
        <v>395</v>
      </c>
      <c r="O44" s="10" t="n">
        <f aca="false">SUM(C44:N44)</f>
        <v>1580</v>
      </c>
    </row>
    <row r="45" customFormat="false" ht="15" hidden="false" customHeight="false" outlineLevel="0" collapsed="false">
      <c r="A45" s="7" t="s">
        <v>85</v>
      </c>
      <c r="B45" s="8" t="s">
        <v>86</v>
      </c>
      <c r="C45" s="9" t="n">
        <v>1100</v>
      </c>
      <c r="D45" s="9" t="n">
        <v>1100</v>
      </c>
      <c r="E45" s="9" t="n">
        <v>1100</v>
      </c>
      <c r="F45" s="9" t="n">
        <v>1100</v>
      </c>
      <c r="G45" s="9" t="n">
        <v>1100</v>
      </c>
      <c r="H45" s="9" t="n">
        <v>1100</v>
      </c>
      <c r="I45" s="9" t="n">
        <v>3100</v>
      </c>
      <c r="J45" s="9" t="n">
        <v>1100</v>
      </c>
      <c r="K45" s="9" t="n">
        <v>1100</v>
      </c>
      <c r="L45" s="9" t="n">
        <v>1100</v>
      </c>
      <c r="M45" s="9" t="n">
        <v>1100</v>
      </c>
      <c r="N45" s="9" t="n">
        <v>1100</v>
      </c>
      <c r="O45" s="10" t="n">
        <f aca="false">SUM(C45:N45)</f>
        <v>15200</v>
      </c>
    </row>
    <row r="46" customFormat="false" ht="15" hidden="false" customHeight="false" outlineLevel="0" collapsed="false">
      <c r="A46" s="6"/>
      <c r="B46" s="6" t="s">
        <v>87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customFormat="false" ht="15" hidden="false" customHeight="false" outlineLevel="0" collapsed="false">
      <c r="A47" s="7" t="s">
        <v>88</v>
      </c>
      <c r="B47" s="8" t="s">
        <v>89</v>
      </c>
      <c r="C47" s="9" t="n">
        <v>845</v>
      </c>
      <c r="D47" s="9" t="n">
        <v>837</v>
      </c>
      <c r="E47" s="9" t="n">
        <v>947</v>
      </c>
      <c r="F47" s="9" t="n">
        <v>901</v>
      </c>
      <c r="G47" s="9" t="n">
        <v>834</v>
      </c>
      <c r="H47" s="9" t="n">
        <v>811</v>
      </c>
      <c r="I47" s="9" t="n">
        <v>867</v>
      </c>
      <c r="J47" s="9" t="n">
        <v>895</v>
      </c>
      <c r="K47" s="9" t="n">
        <v>924</v>
      </c>
      <c r="L47" s="9" t="n">
        <v>814</v>
      </c>
      <c r="M47" s="9" t="n">
        <v>928</v>
      </c>
      <c r="N47" s="9" t="n">
        <v>830</v>
      </c>
      <c r="O47" s="10" t="n">
        <f aca="false">SUM(C47:N47)</f>
        <v>10433</v>
      </c>
    </row>
    <row r="48" customFormat="false" ht="15" hidden="false" customHeight="false" outlineLevel="0" collapsed="false">
      <c r="A48" s="7" t="s">
        <v>90</v>
      </c>
      <c r="B48" s="8" t="s">
        <v>91</v>
      </c>
      <c r="C48" s="9" t="n">
        <v>75</v>
      </c>
      <c r="F48" s="9" t="n">
        <v>75</v>
      </c>
      <c r="I48" s="9" t="n">
        <v>75</v>
      </c>
      <c r="L48" s="9" t="n">
        <v>75</v>
      </c>
      <c r="O48" s="10" t="n">
        <f aca="false">SUM(C48:N48)</f>
        <v>300</v>
      </c>
    </row>
    <row r="49" customFormat="false" ht="15" hidden="false" customHeight="false" outlineLevel="0" collapsed="false">
      <c r="A49" s="7" t="s">
        <v>92</v>
      </c>
      <c r="B49" s="8" t="s">
        <v>93</v>
      </c>
      <c r="C49" s="9" t="n">
        <v>1084</v>
      </c>
      <c r="D49" s="9" t="n">
        <v>1775</v>
      </c>
      <c r="E49" s="9" t="n">
        <v>915</v>
      </c>
      <c r="F49" s="9" t="n">
        <v>727</v>
      </c>
      <c r="G49" s="9" t="n">
        <v>1125</v>
      </c>
      <c r="H49" s="9" t="n">
        <v>285</v>
      </c>
      <c r="I49" s="9" t="n">
        <v>18500</v>
      </c>
      <c r="J49" s="9" t="n">
        <v>328</v>
      </c>
      <c r="K49" s="9" t="n">
        <v>1390</v>
      </c>
      <c r="L49" s="9" t="n">
        <v>670</v>
      </c>
      <c r="M49" s="9" t="n">
        <v>1045</v>
      </c>
      <c r="N49" s="9" t="n">
        <v>620</v>
      </c>
      <c r="O49" s="10" t="n">
        <f aca="false">SUM(C49:N49)</f>
        <v>28464</v>
      </c>
    </row>
    <row r="50" customFormat="false" ht="15" hidden="false" customHeight="false" outlineLevel="0" collapsed="false">
      <c r="A50" s="7" t="s">
        <v>94</v>
      </c>
      <c r="B50" s="8" t="s">
        <v>95</v>
      </c>
      <c r="C50" s="9" t="n">
        <v>95</v>
      </c>
      <c r="D50" s="9" t="n">
        <v>95</v>
      </c>
      <c r="E50" s="9" t="n">
        <v>95</v>
      </c>
      <c r="F50" s="9" t="n">
        <v>95</v>
      </c>
      <c r="G50" s="9" t="n">
        <v>95</v>
      </c>
      <c r="H50" s="9" t="n">
        <v>95</v>
      </c>
      <c r="I50" s="9" t="n">
        <v>95</v>
      </c>
      <c r="J50" s="9" t="n">
        <v>95</v>
      </c>
      <c r="K50" s="9" t="n">
        <v>95</v>
      </c>
      <c r="L50" s="9" t="n">
        <v>95</v>
      </c>
      <c r="M50" s="9" t="n">
        <v>95</v>
      </c>
      <c r="N50" s="9" t="n">
        <v>95</v>
      </c>
      <c r="O50" s="10" t="n">
        <f aca="false">SUM(C50:N50)</f>
        <v>1140</v>
      </c>
    </row>
    <row r="51" customFormat="false" ht="15" hidden="false" customHeight="false" outlineLevel="0" collapsed="false">
      <c r="A51" s="6"/>
      <c r="B51" s="6" t="s">
        <v>96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customFormat="false" ht="15" hidden="false" customHeight="false" outlineLevel="0" collapsed="false">
      <c r="A52" s="7" t="s">
        <v>97</v>
      </c>
      <c r="B52" s="8" t="s">
        <v>98</v>
      </c>
      <c r="C52" s="9" t="n">
        <v>1451</v>
      </c>
      <c r="D52" s="9" t="n">
        <v>1350</v>
      </c>
      <c r="E52" s="9" t="n">
        <v>1628</v>
      </c>
      <c r="F52" s="9" t="n">
        <v>1677</v>
      </c>
      <c r="G52" s="9" t="n">
        <v>1917</v>
      </c>
      <c r="H52" s="9" t="n">
        <v>2079</v>
      </c>
      <c r="I52" s="9" t="n">
        <v>2151</v>
      </c>
      <c r="J52" s="9" t="n">
        <v>1978</v>
      </c>
      <c r="K52" s="9" t="n">
        <v>1661</v>
      </c>
      <c r="L52" s="9" t="n">
        <v>1547</v>
      </c>
      <c r="M52" s="9" t="n">
        <v>1381</v>
      </c>
      <c r="N52" s="9" t="n">
        <v>1739</v>
      </c>
      <c r="O52" s="10" t="n">
        <f aca="false">SUM(C52:N52)</f>
        <v>20559</v>
      </c>
    </row>
    <row r="53" customFormat="false" ht="15" hidden="false" customHeight="false" outlineLevel="0" collapsed="false">
      <c r="A53" s="7" t="s">
        <v>99</v>
      </c>
      <c r="B53" s="8" t="s">
        <v>100</v>
      </c>
      <c r="C53" s="9" t="n">
        <v>855</v>
      </c>
      <c r="D53" s="9" t="n">
        <v>738</v>
      </c>
      <c r="E53" s="9" t="n">
        <v>933</v>
      </c>
      <c r="F53" s="9" t="n">
        <v>1025</v>
      </c>
      <c r="G53" s="9" t="n">
        <v>1387</v>
      </c>
      <c r="H53" s="9" t="n">
        <v>1478</v>
      </c>
      <c r="I53" s="9" t="n">
        <v>1668</v>
      </c>
      <c r="J53" s="9" t="n">
        <v>1518</v>
      </c>
      <c r="K53" s="9" t="n">
        <v>1118</v>
      </c>
      <c r="L53" s="9" t="n">
        <v>975</v>
      </c>
      <c r="M53" s="9" t="n">
        <v>850</v>
      </c>
      <c r="N53" s="9" t="n">
        <v>1076</v>
      </c>
      <c r="O53" s="10" t="n">
        <f aca="false">SUM(C53:N53)</f>
        <v>13621</v>
      </c>
    </row>
    <row r="54" customFormat="false" ht="15" hidden="false" customHeight="false" outlineLevel="0" collapsed="false">
      <c r="A54" s="7" t="s">
        <v>101</v>
      </c>
      <c r="B54" s="8" t="s">
        <v>102</v>
      </c>
      <c r="C54" s="9" t="n">
        <v>416</v>
      </c>
      <c r="D54" s="9" t="n">
        <v>405</v>
      </c>
      <c r="E54" s="9" t="n">
        <v>121</v>
      </c>
      <c r="F54" s="9" t="n">
        <v>245</v>
      </c>
      <c r="G54" s="9" t="n">
        <v>201</v>
      </c>
      <c r="H54" s="9" t="n">
        <v>323</v>
      </c>
      <c r="I54" s="9" t="n">
        <v>438</v>
      </c>
      <c r="J54" s="9" t="n">
        <v>344</v>
      </c>
      <c r="K54" s="9" t="n">
        <v>153</v>
      </c>
      <c r="L54" s="9" t="n">
        <v>95</v>
      </c>
      <c r="M54" s="9" t="n">
        <v>146</v>
      </c>
      <c r="N54" s="9" t="n">
        <v>243</v>
      </c>
      <c r="O54" s="10" t="n">
        <f aca="false">SUM(C54:N54)</f>
        <v>3130</v>
      </c>
    </row>
    <row r="55" customFormat="false" ht="15" hidden="false" customHeight="false" outlineLevel="0" collapsed="false">
      <c r="A55" s="6"/>
      <c r="B55" s="6" t="s">
        <v>103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customFormat="false" ht="15" hidden="false" customHeight="false" outlineLevel="0" collapsed="false">
      <c r="A56" s="7" t="s">
        <v>104</v>
      </c>
      <c r="B56" s="8" t="s">
        <v>105</v>
      </c>
      <c r="C56" s="9" t="n">
        <v>650</v>
      </c>
      <c r="D56" s="9" t="n">
        <v>650</v>
      </c>
      <c r="E56" s="9" t="n">
        <v>650</v>
      </c>
      <c r="F56" s="9" t="n">
        <v>650</v>
      </c>
      <c r="G56" s="9" t="n">
        <v>650</v>
      </c>
      <c r="H56" s="9" t="n">
        <v>650</v>
      </c>
      <c r="I56" s="9" t="n">
        <v>650</v>
      </c>
      <c r="J56" s="9" t="n">
        <v>650</v>
      </c>
      <c r="K56" s="9" t="n">
        <v>650</v>
      </c>
      <c r="L56" s="9" t="n">
        <v>650</v>
      </c>
      <c r="M56" s="9" t="n">
        <v>650</v>
      </c>
      <c r="N56" s="9" t="n">
        <v>650</v>
      </c>
      <c r="O56" s="10" t="n">
        <f aca="false">SUM(C56:N56)</f>
        <v>7800</v>
      </c>
    </row>
    <row r="57" customFormat="false" ht="15" hidden="false" customHeight="false" outlineLevel="0" collapsed="false">
      <c r="A57" s="7" t="s">
        <v>106</v>
      </c>
      <c r="B57" s="8" t="s">
        <v>107</v>
      </c>
      <c r="C57" s="9" t="n">
        <v>220</v>
      </c>
      <c r="D57" s="9" t="n">
        <v>220</v>
      </c>
      <c r="E57" s="9" t="n">
        <v>220</v>
      </c>
      <c r="F57" s="9" t="n">
        <v>220</v>
      </c>
      <c r="G57" s="9" t="n">
        <v>220</v>
      </c>
      <c r="H57" s="9" t="n">
        <v>220</v>
      </c>
      <c r="I57" s="9" t="n">
        <v>220</v>
      </c>
      <c r="J57" s="9" t="n">
        <v>220</v>
      </c>
      <c r="K57" s="9" t="n">
        <v>220</v>
      </c>
      <c r="L57" s="9" t="n">
        <v>220</v>
      </c>
      <c r="M57" s="9" t="n">
        <v>220</v>
      </c>
      <c r="N57" s="9" t="n">
        <v>220</v>
      </c>
      <c r="O57" s="10" t="n">
        <f aca="false">SUM(C57:N57)</f>
        <v>2640</v>
      </c>
    </row>
    <row r="58" customFormat="false" ht="15" hidden="false" customHeight="false" outlineLevel="0" collapsed="false">
      <c r="A58" s="6"/>
      <c r="B58" s="6" t="s">
        <v>108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customFormat="false" ht="15" hidden="false" customHeight="false" outlineLevel="0" collapsed="false">
      <c r="A59" s="7" t="s">
        <v>109</v>
      </c>
      <c r="B59" s="8" t="s">
        <v>110</v>
      </c>
      <c r="E59" s="9" t="n">
        <v>1500</v>
      </c>
      <c r="H59" s="9" t="n">
        <v>1500</v>
      </c>
      <c r="K59" s="9" t="n">
        <v>1500</v>
      </c>
      <c r="N59" s="9" t="n">
        <v>1500</v>
      </c>
      <c r="O59" s="10" t="n">
        <f aca="false">SUM(C59:N59)</f>
        <v>6000</v>
      </c>
    </row>
    <row r="60" customFormat="false" ht="15" hidden="false" customHeight="false" outlineLevel="0" collapsed="false">
      <c r="A60" s="7" t="s">
        <v>111</v>
      </c>
      <c r="B60" s="8" t="s">
        <v>112</v>
      </c>
      <c r="O60" s="10" t="n">
        <f aca="false">SUM(C60:N60)</f>
        <v>0</v>
      </c>
    </row>
    <row r="61" customFormat="false" ht="15" hidden="false" customHeight="false" outlineLevel="0" collapsed="false">
      <c r="A61" s="7" t="s">
        <v>113</v>
      </c>
      <c r="B61" s="8" t="s">
        <v>114</v>
      </c>
      <c r="C61" s="9" t="n">
        <v>185</v>
      </c>
      <c r="D61" s="9" t="n">
        <v>185</v>
      </c>
      <c r="E61" s="9" t="n">
        <v>185</v>
      </c>
      <c r="F61" s="9" t="n">
        <v>185</v>
      </c>
      <c r="G61" s="9" t="n">
        <v>185</v>
      </c>
      <c r="H61" s="9" t="n">
        <v>185</v>
      </c>
      <c r="I61" s="9" t="n">
        <v>185</v>
      </c>
      <c r="J61" s="9" t="n">
        <v>185</v>
      </c>
      <c r="K61" s="9" t="n">
        <v>185</v>
      </c>
      <c r="L61" s="9" t="n">
        <v>185</v>
      </c>
      <c r="M61" s="9" t="n">
        <v>185</v>
      </c>
      <c r="N61" s="9" t="n">
        <v>185</v>
      </c>
      <c r="O61" s="10" t="n">
        <f aca="false">SUM(C61:N61)</f>
        <v>2220</v>
      </c>
    </row>
    <row r="62" customFormat="false" ht="15" hidden="false" customHeight="false" outlineLevel="0" collapsed="false">
      <c r="A62" s="6"/>
      <c r="B62" s="6" t="s">
        <v>115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customFormat="false" ht="15" hidden="false" customHeight="false" outlineLevel="0" collapsed="false">
      <c r="A63" s="7" t="s">
        <v>116</v>
      </c>
      <c r="B63" s="8" t="s">
        <v>117</v>
      </c>
      <c r="C63" s="9" t="n">
        <v>1968</v>
      </c>
      <c r="D63" s="9" t="n">
        <v>1820</v>
      </c>
      <c r="E63" s="9" t="n">
        <v>2254</v>
      </c>
      <c r="F63" s="9" t="n">
        <v>2411</v>
      </c>
      <c r="G63" s="9" t="n">
        <v>2902</v>
      </c>
      <c r="H63" s="9" t="n">
        <v>3319</v>
      </c>
      <c r="I63" s="9" t="n">
        <v>3510</v>
      </c>
      <c r="J63" s="9" t="n">
        <v>3213</v>
      </c>
      <c r="K63" s="9" t="n">
        <v>2519</v>
      </c>
      <c r="L63" s="9" t="n">
        <v>2195</v>
      </c>
      <c r="M63" s="9" t="n">
        <v>1915</v>
      </c>
      <c r="N63" s="9" t="n">
        <v>2504</v>
      </c>
      <c r="O63" s="10" t="n">
        <f aca="false">SUM(C63:N63)</f>
        <v>30530</v>
      </c>
    </row>
    <row r="64" customFormat="false" ht="15" hidden="false" customHeight="false" outlineLevel="0" collapsed="false">
      <c r="A64" s="7" t="s">
        <v>118</v>
      </c>
      <c r="B64" s="8" t="s">
        <v>119</v>
      </c>
      <c r="C64" s="9" t="n">
        <v>19</v>
      </c>
      <c r="D64" s="9" t="n">
        <v>33</v>
      </c>
      <c r="E64" s="9" t="n">
        <v>14</v>
      </c>
      <c r="F64" s="9" t="n">
        <v>50</v>
      </c>
      <c r="G64" s="9" t="n">
        <v>74</v>
      </c>
      <c r="H64" s="9" t="n">
        <v>46</v>
      </c>
      <c r="I64" s="9" t="n">
        <v>38</v>
      </c>
      <c r="J64" s="9" t="n">
        <v>15</v>
      </c>
      <c r="K64" s="9" t="n">
        <v>28</v>
      </c>
      <c r="L64" s="9" t="n">
        <v>54</v>
      </c>
      <c r="M64" s="9" t="n">
        <v>50</v>
      </c>
      <c r="N64" s="9" t="n">
        <v>44</v>
      </c>
      <c r="O64" s="10" t="n">
        <f aca="false">SUM(C64:N64)</f>
        <v>465</v>
      </c>
    </row>
    <row r="65" customFormat="false" ht="15" hidden="false" customHeight="false" outlineLevel="0" collapsed="false">
      <c r="A65" s="7" t="s">
        <v>120</v>
      </c>
      <c r="B65" s="8" t="s">
        <v>121</v>
      </c>
      <c r="C65" s="9" t="n">
        <v>471</v>
      </c>
      <c r="D65" s="9" t="n">
        <v>263</v>
      </c>
      <c r="E65" s="9" t="n">
        <v>504</v>
      </c>
      <c r="F65" s="9" t="n">
        <v>558</v>
      </c>
      <c r="G65" s="9" t="n">
        <v>124</v>
      </c>
      <c r="H65" s="9" t="n">
        <v>437</v>
      </c>
      <c r="I65" s="9" t="n">
        <v>254</v>
      </c>
      <c r="J65" s="9" t="n">
        <v>586</v>
      </c>
      <c r="K65" s="9" t="n">
        <v>29</v>
      </c>
      <c r="L65" s="9" t="n">
        <v>184</v>
      </c>
      <c r="M65" s="9" t="n">
        <v>339</v>
      </c>
      <c r="N65" s="9" t="n">
        <v>543</v>
      </c>
      <c r="O65" s="10" t="n">
        <f aca="false">SUM(C65:N65)</f>
        <v>4292</v>
      </c>
    </row>
    <row r="66" customFormat="false" ht="15" hidden="false" customHeight="false" outlineLevel="0" collapsed="false">
      <c r="A66" s="6"/>
      <c r="B66" s="6" t="s">
        <v>122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customFormat="false" ht="15" hidden="false" customHeight="false" outlineLevel="0" collapsed="false">
      <c r="A67" s="7" t="s">
        <v>123</v>
      </c>
      <c r="B67" s="8" t="s">
        <v>124</v>
      </c>
      <c r="C67" s="9" t="n">
        <v>153</v>
      </c>
      <c r="D67" s="9" t="n">
        <v>128</v>
      </c>
      <c r="E67" s="9" t="n">
        <v>366</v>
      </c>
      <c r="F67" s="9" t="n">
        <v>204</v>
      </c>
      <c r="G67" s="9" t="n">
        <v>82</v>
      </c>
      <c r="H67" s="9" t="n">
        <v>240</v>
      </c>
      <c r="I67" s="9" t="n">
        <v>322</v>
      </c>
      <c r="J67" s="9" t="n">
        <v>320</v>
      </c>
      <c r="K67" s="9" t="n">
        <v>317</v>
      </c>
      <c r="L67" s="9" t="n">
        <v>392</v>
      </c>
      <c r="M67" s="9" t="n">
        <v>307</v>
      </c>
      <c r="N67" s="9" t="n">
        <v>319</v>
      </c>
      <c r="O67" s="10" t="n">
        <f aca="false">SUM(C67:N67)</f>
        <v>3150</v>
      </c>
    </row>
    <row r="68" customFormat="false" ht="15" hidden="false" customHeight="false" outlineLevel="0" collapsed="false">
      <c r="A68" s="7" t="s">
        <v>125</v>
      </c>
      <c r="B68" s="8" t="s">
        <v>126</v>
      </c>
      <c r="C68" s="9" t="n">
        <v>145</v>
      </c>
      <c r="D68" s="9" t="n">
        <v>123</v>
      </c>
      <c r="E68" s="9" t="n">
        <v>31</v>
      </c>
      <c r="F68" s="9" t="n">
        <v>9</v>
      </c>
      <c r="G68" s="9" t="n">
        <v>107</v>
      </c>
      <c r="H68" s="9" t="n">
        <v>79</v>
      </c>
      <c r="I68" s="9" t="n">
        <v>71</v>
      </c>
      <c r="J68" s="9" t="n">
        <v>126</v>
      </c>
      <c r="K68" s="9" t="n">
        <v>24</v>
      </c>
      <c r="L68" s="9" t="n">
        <v>67</v>
      </c>
      <c r="M68" s="9" t="n">
        <v>22</v>
      </c>
      <c r="N68" s="9" t="n">
        <v>90</v>
      </c>
      <c r="O68" s="10" t="n">
        <f aca="false">SUM(C68:N68)</f>
        <v>894</v>
      </c>
    </row>
    <row r="69" customFormat="false" ht="15" hidden="false" customHeight="false" outlineLevel="0" collapsed="false">
      <c r="A69" s="7" t="s">
        <v>127</v>
      </c>
      <c r="B69" s="8" t="s">
        <v>128</v>
      </c>
      <c r="H69" s="9" t="n">
        <v>446</v>
      </c>
      <c r="N69" s="9" t="n">
        <v>158</v>
      </c>
      <c r="O69" s="10" t="n">
        <f aca="false">SUM(C69:N69)</f>
        <v>604</v>
      </c>
    </row>
    <row r="70" customFormat="false" ht="15" hidden="false" customHeight="false" outlineLevel="0" collapsed="false">
      <c r="A70" s="7" t="s">
        <v>129</v>
      </c>
      <c r="B70" s="8" t="s">
        <v>130</v>
      </c>
      <c r="C70" s="9" t="n">
        <v>250</v>
      </c>
      <c r="F70" s="9" t="n">
        <v>250</v>
      </c>
      <c r="I70" s="9" t="n">
        <v>250</v>
      </c>
      <c r="L70" s="9" t="n">
        <v>250</v>
      </c>
      <c r="O70" s="10" t="n">
        <f aca="false">SUM(C70:N70)</f>
        <v>1000</v>
      </c>
    </row>
    <row r="71" customFormat="false" ht="15" hidden="false" customHeight="false" outlineLevel="0" collapsed="false">
      <c r="A71" s="7" t="s">
        <v>131</v>
      </c>
      <c r="B71" s="8" t="s">
        <v>132</v>
      </c>
      <c r="C71" s="9" t="n">
        <v>214</v>
      </c>
      <c r="D71" s="9" t="n">
        <v>70</v>
      </c>
      <c r="E71" s="9" t="n">
        <v>16</v>
      </c>
      <c r="F71" s="9" t="n">
        <v>82</v>
      </c>
      <c r="G71" s="9" t="n">
        <v>215</v>
      </c>
      <c r="H71" s="9" t="n">
        <v>216</v>
      </c>
      <c r="I71" s="9" t="n">
        <v>111</v>
      </c>
      <c r="J71" s="9" t="n">
        <v>203</v>
      </c>
      <c r="K71" s="9" t="n">
        <v>62</v>
      </c>
      <c r="L71" s="9" t="n">
        <v>66</v>
      </c>
      <c r="M71" s="9" t="n">
        <v>56</v>
      </c>
      <c r="N71" s="9" t="n">
        <v>204</v>
      </c>
      <c r="O71" s="10" t="n">
        <f aca="false">SUM(C71:N71)</f>
        <v>1515</v>
      </c>
    </row>
    <row r="72" customFormat="false" ht="15" hidden="false" customHeight="false" outlineLevel="0" collapsed="false">
      <c r="A72" s="7" t="s">
        <v>133</v>
      </c>
      <c r="B72" s="8" t="s">
        <v>134</v>
      </c>
      <c r="C72" s="9" t="n">
        <v>551</v>
      </c>
      <c r="D72" s="9" t="n">
        <v>613</v>
      </c>
      <c r="E72" s="9" t="n">
        <v>553</v>
      </c>
      <c r="F72" s="9" t="n">
        <v>437</v>
      </c>
      <c r="G72" s="9" t="n">
        <v>592</v>
      </c>
      <c r="H72" s="9" t="n">
        <v>618</v>
      </c>
      <c r="I72" s="9" t="n">
        <v>386</v>
      </c>
      <c r="J72" s="9" t="n">
        <v>497</v>
      </c>
      <c r="K72" s="9" t="n">
        <v>525</v>
      </c>
      <c r="L72" s="9" t="n">
        <v>618</v>
      </c>
      <c r="M72" s="9" t="n">
        <v>710</v>
      </c>
      <c r="N72" s="9" t="n">
        <v>424</v>
      </c>
      <c r="O72" s="10" t="n">
        <f aca="false">SUM(C72:N72)</f>
        <v>6524</v>
      </c>
    </row>
    <row r="73" customFormat="false" ht="15" hidden="false" customHeight="false" outlineLevel="0" collapsed="false">
      <c r="A73" s="7" t="s">
        <v>135</v>
      </c>
      <c r="B73" s="8" t="s">
        <v>136</v>
      </c>
      <c r="C73" s="9" t="n">
        <v>280</v>
      </c>
      <c r="D73" s="9" t="n">
        <v>280</v>
      </c>
      <c r="E73" s="9" t="n">
        <v>280</v>
      </c>
      <c r="F73" s="9" t="n">
        <v>280</v>
      </c>
      <c r="G73" s="9" t="n">
        <v>280</v>
      </c>
      <c r="H73" s="9" t="n">
        <v>280</v>
      </c>
      <c r="I73" s="9" t="n">
        <v>280</v>
      </c>
      <c r="J73" s="9" t="n">
        <v>280</v>
      </c>
      <c r="K73" s="9" t="n">
        <v>280</v>
      </c>
      <c r="L73" s="9" t="n">
        <v>280</v>
      </c>
      <c r="M73" s="9" t="n">
        <v>280</v>
      </c>
      <c r="N73" s="9" t="n">
        <v>280</v>
      </c>
      <c r="O73" s="10" t="n">
        <f aca="false">SUM(C73:N73)</f>
        <v>3360</v>
      </c>
    </row>
    <row r="74" customFormat="false" ht="15" hidden="false" customHeight="false" outlineLevel="0" collapsed="false">
      <c r="A74" s="7" t="s">
        <v>137</v>
      </c>
      <c r="B74" s="8" t="s">
        <v>138</v>
      </c>
      <c r="C74" s="9" t="n">
        <v>1650</v>
      </c>
      <c r="D74" s="9" t="n">
        <v>1650</v>
      </c>
      <c r="E74" s="9" t="n">
        <v>1650</v>
      </c>
      <c r="F74" s="9" t="n">
        <v>1650</v>
      </c>
      <c r="G74" s="9" t="n">
        <v>1650</v>
      </c>
      <c r="H74" s="9" t="n">
        <v>1650</v>
      </c>
      <c r="I74" s="9" t="n">
        <v>1650</v>
      </c>
      <c r="J74" s="9" t="n">
        <v>1650</v>
      </c>
      <c r="K74" s="9" t="n">
        <v>1650</v>
      </c>
      <c r="L74" s="9" t="n">
        <v>1650</v>
      </c>
      <c r="M74" s="9" t="n">
        <v>1650</v>
      </c>
      <c r="N74" s="9" t="n">
        <v>1650</v>
      </c>
      <c r="O74" s="10" t="n">
        <f aca="false">SUM(C74:N74)</f>
        <v>19800</v>
      </c>
    </row>
    <row r="75" customFormat="false" ht="15" hidden="false" customHeight="false" outlineLevel="0" collapsed="false">
      <c r="A75" s="7" t="s">
        <v>139</v>
      </c>
      <c r="B75" s="8" t="s">
        <v>140</v>
      </c>
      <c r="C75" s="9" t="n">
        <v>393</v>
      </c>
      <c r="D75" s="9" t="n">
        <v>395</v>
      </c>
      <c r="E75" s="9" t="n">
        <v>398</v>
      </c>
      <c r="F75" s="9" t="n">
        <v>445</v>
      </c>
      <c r="G75" s="9" t="n">
        <v>402</v>
      </c>
      <c r="H75" s="9" t="n">
        <v>407</v>
      </c>
      <c r="I75" s="9" t="n">
        <v>417</v>
      </c>
      <c r="J75" s="9" t="n">
        <v>420</v>
      </c>
      <c r="K75" s="9" t="n">
        <v>435</v>
      </c>
      <c r="L75" s="9" t="n">
        <v>431</v>
      </c>
      <c r="M75" s="9" t="n">
        <v>399</v>
      </c>
      <c r="N75" s="9" t="n">
        <v>409</v>
      </c>
      <c r="O75" s="10" t="n">
        <f aca="false">SUM(C75:N75)</f>
        <v>4951</v>
      </c>
    </row>
    <row r="76" customFormat="false" ht="15" hidden="false" customHeight="false" outlineLevel="0" collapsed="false">
      <c r="A76" s="7" t="s">
        <v>141</v>
      </c>
      <c r="B76" s="8" t="s">
        <v>142</v>
      </c>
      <c r="C76" s="9" t="n">
        <v>227</v>
      </c>
      <c r="D76" s="9" t="n">
        <v>118</v>
      </c>
      <c r="E76" s="9" t="n">
        <v>271</v>
      </c>
      <c r="F76" s="9" t="n">
        <v>168</v>
      </c>
      <c r="G76" s="9" t="n">
        <v>106</v>
      </c>
      <c r="H76" s="9" t="n">
        <v>43</v>
      </c>
      <c r="I76" s="9" t="n">
        <v>8</v>
      </c>
      <c r="J76" s="9" t="n">
        <v>209</v>
      </c>
      <c r="K76" s="9" t="n">
        <v>146</v>
      </c>
      <c r="L76" s="9" t="n">
        <v>184</v>
      </c>
      <c r="M76" s="9" t="n">
        <v>170</v>
      </c>
      <c r="N76" s="9" t="n">
        <v>337</v>
      </c>
      <c r="O76" s="10" t="n">
        <f aca="false">SUM(C76:N76)</f>
        <v>1987</v>
      </c>
    </row>
    <row r="77" customFormat="false" ht="15" hidden="false" customHeight="false" outlineLevel="0" collapsed="false">
      <c r="B77" s="11" t="s">
        <v>143</v>
      </c>
      <c r="C77" s="12" t="n">
        <f aca="false">C23+C24+C25+C26+C27+C28+C29+C30+C31+C33+C34+C35+C37+C38+C39+C40+C42+C43+C44+C45+C47+C48+C49+C50+C52+C53+C54+C56+C57+C59+C60+C61+C63+C64+C65+C67+C68+C69+C70+C71+C72+C73+C74+C75+C76</f>
        <v>92485</v>
      </c>
      <c r="D77" s="12" t="n">
        <f aca="false">D23+D24+D25+D26+D27+D28+D29+D30+D31+D33+D34+D35+D37+D38+D39+D40+D42+D43+D44+D45+D47+D48+D49+D50+D52+D53+D54+D56+D57+D59+D60+D61+D63+D64+D65+D67+D68+D69+D70+D71+D72+D73+D74+D75+D76</f>
        <v>89176</v>
      </c>
      <c r="E77" s="12" t="n">
        <f aca="false">E23+E24+E25+E26+E27+E28+E29+E30+E31+E33+E34+E35+E37+E38+E39+E40+E42+E43+E44+E45+E47+E48+E49+E50+E52+E53+E54+E56+E57+E59+E60+E61+E63+E64+E65+E67+E68+E69+E70+E71+E72+E73+E74+E75+E76</f>
        <v>97687</v>
      </c>
      <c r="F77" s="12" t="n">
        <f aca="false">F23+F24+F25+F26+F27+F28+F29+F30+F31+F33+F34+F35+F37+F38+F39+F40+F42+F43+F44+F45+F47+F48+F49+F50+F52+F53+F54+F56+F57+F59+F60+F61+F63+F64+F65+F67+F68+F69+F70+F71+F72+F73+F74+F75+F76</f>
        <v>99594</v>
      </c>
      <c r="G77" s="12" t="n">
        <f aca="false">G23+G24+G25+G26+G27+G28+G29+G30+G31+G33+G34+G35+G37+G38+G39+G40+G42+G43+G44+G45+G47+G48+G49+G50+G52+G53+G54+G56+G57+G59+G60+G61+G63+G64+G65+G67+G68+G69+G70+G71+G72+G73+G74+G75+G76</f>
        <v>105070</v>
      </c>
      <c r="H77" s="12" t="n">
        <f aca="false">H23+H24+H25+H26+H27+H28+H29+H30+H31+H33+H34+H35+H37+H38+H39+H40+H42+H43+H44+H45+H47+H48+H49+H50+H52+H53+H54+H56+H57+H59+H60+H61+H63+H64+H65+H67+H68+H69+H70+H71+H72+H73+H74+H75+H76</f>
        <v>113790</v>
      </c>
      <c r="I77" s="12" t="n">
        <f aca="false">I23+I24+I25+I26+I27+I28+I29+I30+I31+I33+I34+I35+I37+I38+I39+I40+I42+I43+I44+I45+I47+I48+I49+I50+I52+I53+I54+I56+I57+I59+I60+I61+I63+I64+I65+I67+I68+I69+I70+I71+I72+I73+I74+I75+I76</f>
        <v>136043</v>
      </c>
      <c r="J77" s="12" t="n">
        <f aca="false">J23+J24+J25+J26+J27+J28+J29+J30+J31+J33+J34+J35+J37+J38+J39+J40+J42+J43+J44+J45+J47+J48+J49+J50+J52+J53+J54+J56+J57+J59+J60+J61+J63+J64+J65+J67+J68+J69+J70+J71+J72+J73+J74+J75+J76</f>
        <v>109594</v>
      </c>
      <c r="K77" s="12" t="n">
        <f aca="false">K23+K24+K25+K26+K27+K28+K29+K30+K31+K33+K34+K35+K37+K38+K39+K40+K42+K43+K44+K45+K47+K48+K49+K50+K52+K53+K54+K56+K57+K59+K60+K61+K63+K64+K65+K67+K68+K69+K70+K71+K72+K73+K74+K75+K76</f>
        <v>101371</v>
      </c>
      <c r="L77" s="12" t="n">
        <f aca="false">L23+L24+L25+L26+L27+L28+L29+L30+L31+L33+L34+L35+L37+L38+L39+L40+L42+L43+L44+L45+L47+L48+L49+L50+L52+L53+L54+L56+L57+L59+L60+L61+L63+L64+L65+L67+L68+L69+L70+L71+L72+L73+L74+L75+L76</f>
        <v>94491</v>
      </c>
      <c r="M77" s="12" t="n">
        <f aca="false">M23+M24+M25+M26+M27+M28+M29+M30+M31+M33+M34+M35+M37+M38+M39+M40+M42+M43+M44+M45+M47+M48+M49+M50+M52+M53+M54+M56+M57+M59+M60+M61+M63+M64+M65+M67+M68+M69+M70+M71+M72+M73+M74+M75+M76</f>
        <v>90671</v>
      </c>
      <c r="N77" s="12" t="n">
        <f aca="false">N23+N24+N25+N26+N27+N28+N29+N30+N31+N33+N34+N35+N37+N38+N39+N40+N42+N43+N44+N45+N47+N48+N49+N50+N52+N53+N54+N56+N57+N59+N60+N61+N63+N64+N65+N67+N68+N69+N70+N71+N72+N73+N74+N75+N76</f>
        <v>101214</v>
      </c>
      <c r="O77" s="12" t="n">
        <f aca="false">O23+O24+O25+O26+O27+O28+O29+O30+O31+O33+O34+O35+O37+O38+O39+O40+O42+O43+O44+O45+O47+O48+O49+O50+O52+O53+O54+O56+O57+O59+O60+O61+O63+O64+O65+O67+O68+O69+O70+O71+O72+O73+O74+O75+O76</f>
        <v>1231186</v>
      </c>
    </row>
    <row r="78" customFormat="false" ht="15" hidden="false" customHeight="false" outlineLevel="0" collapsed="false">
      <c r="B78" s="11" t="s">
        <v>144</v>
      </c>
      <c r="C78" s="12" t="n">
        <f aca="false">C20-C77</f>
        <v>-13306</v>
      </c>
      <c r="D78" s="12" t="n">
        <f aca="false">D20-D77</f>
        <v>-17341</v>
      </c>
      <c r="E78" s="12" t="n">
        <f aca="false">E20-E77</f>
        <v>-9244</v>
      </c>
      <c r="F78" s="12" t="n">
        <f aca="false">F20-F77</f>
        <v>-4113</v>
      </c>
      <c r="G78" s="12" t="n">
        <f aca="false">G20-G77</f>
        <v>8869</v>
      </c>
      <c r="H78" s="12" t="n">
        <f aca="false">H20-H77</f>
        <v>15494</v>
      </c>
      <c r="I78" s="12" t="n">
        <f aca="false">I20-I77</f>
        <v>1563</v>
      </c>
      <c r="J78" s="12" t="n">
        <f aca="false">J20-J77</f>
        <v>13900</v>
      </c>
      <c r="K78" s="12" t="n">
        <f aca="false">K20-K77</f>
        <v>-2071</v>
      </c>
      <c r="L78" s="12" t="n">
        <f aca="false">L20-L77</f>
        <v>-7670</v>
      </c>
      <c r="M78" s="12" t="n">
        <f aca="false">M20-M77</f>
        <v>-14983</v>
      </c>
      <c r="N78" s="12" t="n">
        <f aca="false">N20-N77</f>
        <v>-2892</v>
      </c>
      <c r="O78" s="12" t="n">
        <f aca="false">O20-O77</f>
        <v>-31794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8"/>
    <col collapsed="false" customWidth="true" hidden="false" outlineLevel="0" max="14" min="3" style="1" width="12"/>
    <col collapsed="false" customWidth="true" hidden="false" outlineLevel="0" max="15" min="15" style="1" width="14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4" t="s">
        <v>159</v>
      </c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160</v>
      </c>
      <c r="D5" s="5" t="s">
        <v>161</v>
      </c>
      <c r="E5" s="5" t="s">
        <v>162</v>
      </c>
      <c r="F5" s="5" t="s">
        <v>163</v>
      </c>
      <c r="G5" s="5" t="s">
        <v>164</v>
      </c>
      <c r="H5" s="5" t="s">
        <v>165</v>
      </c>
      <c r="I5" s="5" t="s">
        <v>166</v>
      </c>
      <c r="J5" s="5" t="s">
        <v>167</v>
      </c>
      <c r="K5" s="5" t="s">
        <v>168</v>
      </c>
      <c r="L5" s="5" t="s">
        <v>169</v>
      </c>
      <c r="M5" s="5" t="s">
        <v>170</v>
      </c>
      <c r="N5" s="5" t="s">
        <v>171</v>
      </c>
      <c r="O5" s="5" t="s">
        <v>172</v>
      </c>
    </row>
    <row r="6" customFormat="false" ht="15" hidden="false" customHeight="false" outlineLevel="0" collapsed="false">
      <c r="A6" s="6"/>
      <c r="B6" s="6" t="s">
        <v>18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15" hidden="false" customHeight="false" outlineLevel="0" collapsed="false">
      <c r="A7" s="7" t="s">
        <v>19</v>
      </c>
      <c r="B7" s="8" t="s">
        <v>20</v>
      </c>
      <c r="C7" s="9" t="n">
        <v>-683</v>
      </c>
      <c r="D7" s="9" t="n">
        <v>-561</v>
      </c>
      <c r="E7" s="9" t="n">
        <v>-729</v>
      </c>
      <c r="F7" s="9" t="n">
        <v>-844</v>
      </c>
      <c r="G7" s="9" t="n">
        <v>-932</v>
      </c>
      <c r="H7" s="9" t="n">
        <v>-1040</v>
      </c>
      <c r="I7" s="9" t="n">
        <v>-1188</v>
      </c>
      <c r="J7" s="9" t="n">
        <v>-1143</v>
      </c>
      <c r="K7" s="9" t="n">
        <v>-782</v>
      </c>
      <c r="L7" s="9" t="n">
        <v>-697</v>
      </c>
      <c r="M7" s="9" t="n">
        <v>-617</v>
      </c>
      <c r="N7" s="9" t="n">
        <v>-763</v>
      </c>
      <c r="O7" s="10" t="n">
        <f aca="false">SUM(C7:N7)</f>
        <v>-9979</v>
      </c>
    </row>
    <row r="8" customFormat="false" ht="15" hidden="false" customHeight="false" outlineLevel="0" collapsed="false">
      <c r="A8" s="7" t="s">
        <v>21</v>
      </c>
      <c r="B8" s="8" t="s">
        <v>22</v>
      </c>
      <c r="C8" s="9" t="n">
        <v>765</v>
      </c>
      <c r="D8" s="9" t="n">
        <v>820</v>
      </c>
      <c r="E8" s="9" t="n">
        <v>894</v>
      </c>
      <c r="F8" s="9" t="n">
        <v>806</v>
      </c>
      <c r="G8" s="9" t="n">
        <v>890</v>
      </c>
      <c r="H8" s="9" t="n">
        <v>832</v>
      </c>
      <c r="I8" s="9" t="n">
        <v>887</v>
      </c>
      <c r="J8" s="9" t="n">
        <v>766</v>
      </c>
      <c r="K8" s="9" t="n">
        <v>827</v>
      </c>
      <c r="L8" s="9" t="n">
        <v>869</v>
      </c>
      <c r="M8" s="9" t="n">
        <v>845</v>
      </c>
      <c r="N8" s="9" t="n">
        <v>887</v>
      </c>
      <c r="O8" s="10" t="n">
        <f aca="false">SUM(C8:N8)</f>
        <v>10088</v>
      </c>
    </row>
    <row r="9" customFormat="false" ht="15" hidden="false" customHeight="false" outlineLevel="0" collapsed="false">
      <c r="A9" s="7" t="s">
        <v>23</v>
      </c>
      <c r="B9" s="8" t="s">
        <v>24</v>
      </c>
      <c r="C9" s="9" t="n">
        <v>1916</v>
      </c>
      <c r="D9" s="9" t="n">
        <v>1701</v>
      </c>
      <c r="E9" s="9" t="n">
        <v>2174</v>
      </c>
      <c r="F9" s="9" t="n">
        <v>2428</v>
      </c>
      <c r="G9" s="9" t="n">
        <v>3018</v>
      </c>
      <c r="H9" s="9" t="n">
        <v>3403</v>
      </c>
      <c r="I9" s="9" t="n">
        <v>3765</v>
      </c>
      <c r="J9" s="9" t="n">
        <v>3491</v>
      </c>
      <c r="K9" s="9" t="n">
        <v>2633</v>
      </c>
      <c r="L9" s="9" t="n">
        <v>2191</v>
      </c>
      <c r="M9" s="9" t="n">
        <v>1918</v>
      </c>
      <c r="N9" s="9" t="n">
        <v>4598</v>
      </c>
      <c r="O9" s="10" t="n">
        <f aca="false">SUM(C9:N9)</f>
        <v>33236</v>
      </c>
    </row>
    <row r="10" customFormat="false" ht="15" hidden="false" customHeight="false" outlineLevel="0" collapsed="false">
      <c r="A10" s="6"/>
      <c r="B10" s="6" t="s">
        <v>25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customFormat="false" ht="15" hidden="false" customHeight="false" outlineLevel="0" collapsed="false">
      <c r="A11" s="7" t="s">
        <v>26</v>
      </c>
      <c r="B11" s="8" t="s">
        <v>27</v>
      </c>
      <c r="C11" s="9" t="n">
        <v>33159</v>
      </c>
      <c r="D11" s="9" t="n">
        <v>29351</v>
      </c>
      <c r="E11" s="9" t="n">
        <v>37485</v>
      </c>
      <c r="F11" s="9" t="n">
        <v>41400</v>
      </c>
      <c r="G11" s="9" t="n">
        <v>52009</v>
      </c>
      <c r="H11" s="9" t="n">
        <v>62194</v>
      </c>
      <c r="I11" s="9" t="n">
        <v>66359</v>
      </c>
      <c r="J11" s="9" t="n">
        <v>58328</v>
      </c>
      <c r="K11" s="9" t="n">
        <v>45259</v>
      </c>
      <c r="L11" s="9" t="n">
        <v>37582</v>
      </c>
      <c r="M11" s="9" t="n">
        <v>33280</v>
      </c>
      <c r="N11" s="9" t="n">
        <v>42489</v>
      </c>
      <c r="O11" s="10" t="n">
        <f aca="false">SUM(C11:N11)</f>
        <v>538895</v>
      </c>
    </row>
    <row r="12" customFormat="false" ht="15" hidden="false" customHeight="false" outlineLevel="0" collapsed="false">
      <c r="A12" s="7" t="s">
        <v>28</v>
      </c>
      <c r="B12" s="8" t="s">
        <v>29</v>
      </c>
      <c r="C12" s="9" t="n">
        <v>20877</v>
      </c>
      <c r="D12" s="9" t="n">
        <v>19006</v>
      </c>
      <c r="E12" s="9" t="n">
        <v>22798</v>
      </c>
      <c r="F12" s="9" t="n">
        <v>25502</v>
      </c>
      <c r="G12" s="9" t="n">
        <v>30316</v>
      </c>
      <c r="H12" s="9" t="n">
        <v>34152</v>
      </c>
      <c r="I12" s="9" t="n">
        <v>36870</v>
      </c>
      <c r="J12" s="9" t="n">
        <v>33468</v>
      </c>
      <c r="K12" s="9" t="n">
        <v>26603</v>
      </c>
      <c r="L12" s="9" t="n">
        <v>22803</v>
      </c>
      <c r="M12" s="9" t="n">
        <v>19632</v>
      </c>
      <c r="N12" s="9" t="n">
        <v>25138</v>
      </c>
      <c r="O12" s="10" t="n">
        <f aca="false">SUM(C12:N12)</f>
        <v>317165</v>
      </c>
    </row>
    <row r="13" customFormat="false" ht="15" hidden="false" customHeight="false" outlineLevel="0" collapsed="false">
      <c r="A13" s="7" t="s">
        <v>30</v>
      </c>
      <c r="B13" s="8" t="s">
        <v>31</v>
      </c>
      <c r="C13" s="9" t="n">
        <v>10018</v>
      </c>
      <c r="D13" s="9" t="n">
        <v>9426</v>
      </c>
      <c r="E13" s="9" t="n">
        <v>10790</v>
      </c>
      <c r="F13" s="9" t="n">
        <v>11725</v>
      </c>
      <c r="G13" s="9" t="n">
        <v>13226</v>
      </c>
      <c r="H13" s="9" t="n">
        <v>14339</v>
      </c>
      <c r="I13" s="9" t="n">
        <v>14635</v>
      </c>
      <c r="J13" s="9" t="n">
        <v>13726</v>
      </c>
      <c r="K13" s="9" t="n">
        <v>11496</v>
      </c>
      <c r="L13" s="9" t="n">
        <v>10313</v>
      </c>
      <c r="M13" s="9" t="n">
        <v>9164</v>
      </c>
      <c r="N13" s="9" t="n">
        <v>12056</v>
      </c>
      <c r="O13" s="10" t="n">
        <f aca="false">SUM(C13:N13)</f>
        <v>140914</v>
      </c>
    </row>
    <row r="14" customFormat="false" ht="15" hidden="false" customHeight="false" outlineLevel="0" collapsed="false">
      <c r="A14" s="7" t="s">
        <v>32</v>
      </c>
      <c r="B14" s="8" t="s">
        <v>33</v>
      </c>
      <c r="C14" s="9" t="n">
        <v>15146</v>
      </c>
      <c r="D14" s="9" t="n">
        <v>14440</v>
      </c>
      <c r="E14" s="9" t="n">
        <v>17035</v>
      </c>
      <c r="F14" s="9" t="n">
        <v>17833</v>
      </c>
      <c r="G14" s="9" t="n">
        <v>19855</v>
      </c>
      <c r="H14" s="9" t="n">
        <v>21394</v>
      </c>
      <c r="I14" s="9" t="n">
        <v>22114</v>
      </c>
      <c r="J14" s="9" t="n">
        <v>19965</v>
      </c>
      <c r="K14" s="9" t="n">
        <v>17530</v>
      </c>
      <c r="L14" s="9" t="n">
        <v>16175</v>
      </c>
      <c r="M14" s="9" t="n">
        <v>14340</v>
      </c>
      <c r="N14" s="9" t="n">
        <v>18096</v>
      </c>
      <c r="O14" s="10" t="n">
        <f aca="false">SUM(C14:N14)</f>
        <v>213923</v>
      </c>
    </row>
    <row r="15" customFormat="false" ht="15" hidden="false" customHeight="false" outlineLevel="0" collapsed="false">
      <c r="A15" s="7" t="s">
        <v>34</v>
      </c>
      <c r="B15" s="8" t="s">
        <v>35</v>
      </c>
      <c r="C15" s="9" t="n">
        <v>3043</v>
      </c>
      <c r="D15" s="9" t="n">
        <v>2883</v>
      </c>
      <c r="E15" s="9" t="n">
        <v>3255</v>
      </c>
      <c r="F15" s="9" t="n">
        <v>3446</v>
      </c>
      <c r="G15" s="9" t="n">
        <v>3968</v>
      </c>
      <c r="H15" s="9" t="n">
        <v>4190</v>
      </c>
      <c r="I15" s="9" t="n">
        <v>4245</v>
      </c>
      <c r="J15" s="9" t="n">
        <v>4182</v>
      </c>
      <c r="K15" s="9" t="n">
        <v>3417</v>
      </c>
      <c r="L15" s="9" t="n">
        <v>3036</v>
      </c>
      <c r="M15" s="9" t="n">
        <v>2825</v>
      </c>
      <c r="N15" s="9" t="n">
        <v>3532</v>
      </c>
      <c r="O15" s="10" t="n">
        <f aca="false">SUM(C15:N15)</f>
        <v>42022</v>
      </c>
    </row>
    <row r="16" customFormat="false" ht="15" hidden="false" customHeight="false" outlineLevel="0" collapsed="false">
      <c r="B16" s="11" t="s">
        <v>36</v>
      </c>
      <c r="C16" s="12" t="n">
        <f aca="false">C7+C8+C9+C11+C12+C13+C14+C15</f>
        <v>84241</v>
      </c>
      <c r="D16" s="12" t="n">
        <f aca="false">D7+D8+D9+D11+D12+D13+D14+D15</f>
        <v>77066</v>
      </c>
      <c r="E16" s="12" t="n">
        <f aca="false">E7+E8+E9+E11+E12+E13+E14+E15</f>
        <v>93702</v>
      </c>
      <c r="F16" s="12" t="n">
        <f aca="false">F7+F8+F9+F11+F12+F13+F14+F15</f>
        <v>102296</v>
      </c>
      <c r="G16" s="12" t="n">
        <f aca="false">G7+G8+G9+G11+G12+G13+G14+G15</f>
        <v>122350</v>
      </c>
      <c r="H16" s="12" t="n">
        <f aca="false">H7+H8+H9+H11+H12+H13+H14+H15</f>
        <v>139464</v>
      </c>
      <c r="I16" s="12" t="n">
        <f aca="false">I7+I8+I9+I11+I12+I13+I14+I15</f>
        <v>147687</v>
      </c>
      <c r="J16" s="12" t="n">
        <f aca="false">J7+J8+J9+J11+J12+J13+J14+J15</f>
        <v>132783</v>
      </c>
      <c r="K16" s="12" t="n">
        <f aca="false">K7+K8+K9+K11+K12+K13+K14+K15</f>
        <v>106983</v>
      </c>
      <c r="L16" s="12" t="n">
        <f aca="false">L7+L8+L9+L11+L12+L13+L14+L15</f>
        <v>92272</v>
      </c>
      <c r="M16" s="12" t="n">
        <f aca="false">M7+M8+M9+M11+M12+M13+M14+M15</f>
        <v>81387</v>
      </c>
      <c r="N16" s="12" t="n">
        <f aca="false">N7+N8+N9+N11+N12+N13+N14+N15</f>
        <v>106033</v>
      </c>
      <c r="O16" s="12" t="n">
        <f aca="false">O7+O8+O9+O11+O12+O13+O14+O15</f>
        <v>1286264</v>
      </c>
    </row>
    <row r="17" customFormat="false" ht="15" hidden="false" customHeight="false" outlineLevel="0" collapsed="false">
      <c r="A17" s="6"/>
      <c r="B17" s="6" t="s">
        <v>37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customFormat="false" ht="15" hidden="false" customHeight="false" outlineLevel="0" collapsed="false">
      <c r="A18" s="7" t="s">
        <v>38</v>
      </c>
      <c r="B18" s="8" t="s">
        <v>39</v>
      </c>
      <c r="C18" s="9" t="n">
        <v>1006</v>
      </c>
      <c r="D18" s="9" t="n">
        <v>894</v>
      </c>
      <c r="E18" s="9" t="n">
        <v>1117</v>
      </c>
      <c r="F18" s="9" t="n">
        <v>1219</v>
      </c>
      <c r="G18" s="9" t="n">
        <v>1570</v>
      </c>
      <c r="H18" s="9" t="n">
        <v>1770</v>
      </c>
      <c r="I18" s="9" t="n">
        <v>2018</v>
      </c>
      <c r="J18" s="9" t="n">
        <v>1838</v>
      </c>
      <c r="K18" s="9" t="n">
        <v>1338</v>
      </c>
      <c r="L18" s="9" t="n">
        <v>1142</v>
      </c>
      <c r="M18" s="9" t="n">
        <v>994</v>
      </c>
      <c r="N18" s="9" t="n">
        <v>2342</v>
      </c>
      <c r="O18" s="10" t="n">
        <f aca="false">SUM(C18:N18)</f>
        <v>17248</v>
      </c>
    </row>
    <row r="19" customFormat="false" ht="15" hidden="false" customHeight="false" outlineLevel="0" collapsed="false">
      <c r="B19" s="11" t="s">
        <v>40</v>
      </c>
      <c r="C19" s="12" t="n">
        <f aca="false">C18</f>
        <v>1006</v>
      </c>
      <c r="D19" s="12" t="n">
        <f aca="false">D18</f>
        <v>894</v>
      </c>
      <c r="E19" s="12" t="n">
        <f aca="false">E18</f>
        <v>1117</v>
      </c>
      <c r="F19" s="12" t="n">
        <f aca="false">F18</f>
        <v>1219</v>
      </c>
      <c r="G19" s="12" t="n">
        <f aca="false">G18</f>
        <v>1570</v>
      </c>
      <c r="H19" s="12" t="n">
        <f aca="false">H18</f>
        <v>1770</v>
      </c>
      <c r="I19" s="12" t="n">
        <f aca="false">I18</f>
        <v>2018</v>
      </c>
      <c r="J19" s="12" t="n">
        <f aca="false">J18</f>
        <v>1838</v>
      </c>
      <c r="K19" s="12" t="n">
        <f aca="false">K18</f>
        <v>1338</v>
      </c>
      <c r="L19" s="12" t="n">
        <f aca="false">L18</f>
        <v>1142</v>
      </c>
      <c r="M19" s="12" t="n">
        <f aca="false">M18</f>
        <v>994</v>
      </c>
      <c r="N19" s="12" t="n">
        <f aca="false">N18</f>
        <v>2342</v>
      </c>
      <c r="O19" s="12" t="n">
        <f aca="false">O18</f>
        <v>17248</v>
      </c>
    </row>
    <row r="20" customFormat="false" ht="15" hidden="false" customHeight="false" outlineLevel="0" collapsed="false">
      <c r="B20" s="11" t="s">
        <v>41</v>
      </c>
      <c r="C20" s="12" t="n">
        <f aca="false">C16-C19</f>
        <v>83235</v>
      </c>
      <c r="D20" s="12" t="n">
        <f aca="false">D16-D19</f>
        <v>76172</v>
      </c>
      <c r="E20" s="12" t="n">
        <f aca="false">E16-E19</f>
        <v>92585</v>
      </c>
      <c r="F20" s="12" t="n">
        <f aca="false">F16-F19</f>
        <v>101077</v>
      </c>
      <c r="G20" s="12" t="n">
        <f aca="false">G16-G19</f>
        <v>120780</v>
      </c>
      <c r="H20" s="12" t="n">
        <f aca="false">H16-H19</f>
        <v>137694</v>
      </c>
      <c r="I20" s="12" t="n">
        <f aca="false">I16-I19</f>
        <v>145669</v>
      </c>
      <c r="J20" s="12" t="n">
        <f aca="false">J16-J19</f>
        <v>130945</v>
      </c>
      <c r="K20" s="12" t="n">
        <f aca="false">K16-K19</f>
        <v>105645</v>
      </c>
      <c r="L20" s="12" t="n">
        <f aca="false">L16-L19</f>
        <v>91130</v>
      </c>
      <c r="M20" s="12" t="n">
        <f aca="false">M16-M19</f>
        <v>80393</v>
      </c>
      <c r="N20" s="12" t="n">
        <f aca="false">N16-N19</f>
        <v>103691</v>
      </c>
      <c r="O20" s="12" t="n">
        <f aca="false">O16-O19</f>
        <v>1269016</v>
      </c>
    </row>
    <row r="21" customFormat="false" ht="15" hidden="false" customHeight="false" outlineLevel="0" collapsed="false">
      <c r="A21" s="6"/>
      <c r="B21" s="6" t="s">
        <v>42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customFormat="false" ht="15" hidden="false" customHeight="false" outlineLevel="0" collapsed="false">
      <c r="A22" s="6"/>
      <c r="B22" s="6" t="s">
        <v>43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customFormat="false" ht="15" hidden="false" customHeight="false" outlineLevel="0" collapsed="false">
      <c r="A23" s="7" t="s">
        <v>44</v>
      </c>
      <c r="B23" s="8" t="s">
        <v>45</v>
      </c>
      <c r="C23" s="9" t="n">
        <v>12534</v>
      </c>
      <c r="D23" s="9" t="n">
        <v>11306</v>
      </c>
      <c r="E23" s="9" t="n">
        <v>13170</v>
      </c>
      <c r="F23" s="9" t="n">
        <v>14278</v>
      </c>
      <c r="G23" s="9" t="n">
        <v>15937</v>
      </c>
      <c r="H23" s="9" t="n">
        <v>16778</v>
      </c>
      <c r="I23" s="9" t="n">
        <v>17903</v>
      </c>
      <c r="J23" s="9" t="n">
        <v>16225</v>
      </c>
      <c r="K23" s="9" t="n">
        <v>13976</v>
      </c>
      <c r="L23" s="9" t="n">
        <v>13018</v>
      </c>
      <c r="M23" s="9" t="n">
        <v>11280</v>
      </c>
      <c r="N23" s="9" t="n">
        <v>14238</v>
      </c>
      <c r="O23" s="10" t="n">
        <f aca="false">SUM(C23:N23)</f>
        <v>170643</v>
      </c>
    </row>
    <row r="24" customFormat="false" ht="15" hidden="false" customHeight="false" outlineLevel="0" collapsed="false">
      <c r="A24" s="7" t="s">
        <v>46</v>
      </c>
      <c r="B24" s="8" t="s">
        <v>47</v>
      </c>
      <c r="C24" s="9" t="n">
        <v>16066</v>
      </c>
      <c r="D24" s="9" t="n">
        <v>14510</v>
      </c>
      <c r="E24" s="9" t="n">
        <v>17831</v>
      </c>
      <c r="F24" s="9" t="n">
        <v>19641</v>
      </c>
      <c r="G24" s="9" t="n">
        <v>24532</v>
      </c>
      <c r="H24" s="9" t="n">
        <v>28742</v>
      </c>
      <c r="I24" s="9" t="n">
        <v>31087</v>
      </c>
      <c r="J24" s="9" t="n">
        <v>27455</v>
      </c>
      <c r="K24" s="9" t="n">
        <v>21754</v>
      </c>
      <c r="L24" s="9" t="n">
        <v>18139</v>
      </c>
      <c r="M24" s="9" t="n">
        <v>15754</v>
      </c>
      <c r="N24" s="9" t="n">
        <v>20612</v>
      </c>
      <c r="O24" s="10" t="n">
        <f aca="false">SUM(C24:N24)</f>
        <v>256123</v>
      </c>
    </row>
    <row r="25" customFormat="false" ht="15" hidden="false" customHeight="false" outlineLevel="0" collapsed="false">
      <c r="A25" s="7" t="s">
        <v>48</v>
      </c>
      <c r="B25" s="8" t="s">
        <v>49</v>
      </c>
      <c r="C25" s="9" t="n">
        <v>137</v>
      </c>
      <c r="D25" s="9" t="n">
        <v>4</v>
      </c>
      <c r="E25" s="9" t="n">
        <v>361</v>
      </c>
      <c r="F25" s="9" t="n">
        <v>57</v>
      </c>
      <c r="G25" s="9" t="n">
        <v>229</v>
      </c>
      <c r="H25" s="9" t="n">
        <v>291</v>
      </c>
      <c r="I25" s="9" t="n">
        <v>151</v>
      </c>
      <c r="J25" s="9" t="n">
        <v>272</v>
      </c>
      <c r="K25" s="9" t="n">
        <v>173</v>
      </c>
      <c r="L25" s="9" t="n">
        <v>372</v>
      </c>
      <c r="M25" s="9" t="n">
        <v>302</v>
      </c>
      <c r="N25" s="9" t="n">
        <v>272</v>
      </c>
      <c r="O25" s="10" t="n">
        <f aca="false">SUM(C25:N25)</f>
        <v>2621</v>
      </c>
    </row>
    <row r="26" customFormat="false" ht="15" hidden="false" customHeight="false" outlineLevel="0" collapsed="false">
      <c r="A26" s="7" t="s">
        <v>50</v>
      </c>
      <c r="B26" s="8" t="s">
        <v>51</v>
      </c>
      <c r="C26" s="9" t="n">
        <v>12000</v>
      </c>
      <c r="D26" s="9" t="n">
        <v>12000</v>
      </c>
      <c r="E26" s="9" t="n">
        <v>12000</v>
      </c>
      <c r="F26" s="9" t="n">
        <v>12000</v>
      </c>
      <c r="G26" s="9" t="n">
        <v>12000</v>
      </c>
      <c r="H26" s="9" t="n">
        <v>12000</v>
      </c>
      <c r="I26" s="9" t="n">
        <v>12000</v>
      </c>
      <c r="J26" s="9" t="n">
        <v>12000</v>
      </c>
      <c r="K26" s="9" t="n">
        <v>12000</v>
      </c>
      <c r="L26" s="9" t="n">
        <v>12000</v>
      </c>
      <c r="M26" s="9" t="n">
        <v>12000</v>
      </c>
      <c r="N26" s="9" t="n">
        <v>12000</v>
      </c>
      <c r="O26" s="10" t="n">
        <f aca="false">SUM(C26:N26)</f>
        <v>144000</v>
      </c>
    </row>
    <row r="27" customFormat="false" ht="15" hidden="false" customHeight="false" outlineLevel="0" collapsed="false">
      <c r="A27" s="7" t="s">
        <v>52</v>
      </c>
      <c r="B27" s="8" t="s">
        <v>53</v>
      </c>
      <c r="C27" s="9" t="n">
        <v>520</v>
      </c>
      <c r="D27" s="9" t="n">
        <v>520</v>
      </c>
      <c r="E27" s="9" t="n">
        <v>520</v>
      </c>
      <c r="F27" s="9" t="n">
        <v>520</v>
      </c>
      <c r="G27" s="9" t="n">
        <v>520</v>
      </c>
      <c r="H27" s="9" t="n">
        <v>520</v>
      </c>
      <c r="I27" s="9" t="n">
        <v>520</v>
      </c>
      <c r="J27" s="9" t="n">
        <v>520</v>
      </c>
      <c r="K27" s="9" t="n">
        <v>520</v>
      </c>
      <c r="L27" s="9" t="n">
        <v>520</v>
      </c>
      <c r="M27" s="9" t="n">
        <v>520</v>
      </c>
      <c r="N27" s="9" t="n">
        <v>520</v>
      </c>
      <c r="O27" s="10" t="n">
        <f aca="false">SUM(C27:N27)</f>
        <v>6240</v>
      </c>
    </row>
    <row r="28" customFormat="false" ht="15" hidden="false" customHeight="false" outlineLevel="0" collapsed="false">
      <c r="A28" s="7" t="s">
        <v>54</v>
      </c>
      <c r="B28" s="8" t="s">
        <v>55</v>
      </c>
      <c r="C28" s="9" t="n">
        <v>7500</v>
      </c>
      <c r="D28" s="9" t="n">
        <v>7500</v>
      </c>
      <c r="E28" s="9" t="n">
        <v>7500</v>
      </c>
      <c r="F28" s="9" t="n">
        <v>7500</v>
      </c>
      <c r="G28" s="9" t="n">
        <v>7500</v>
      </c>
      <c r="H28" s="9" t="n">
        <v>7500</v>
      </c>
      <c r="I28" s="9" t="n">
        <v>7500</v>
      </c>
      <c r="J28" s="9" t="n">
        <v>7500</v>
      </c>
      <c r="K28" s="9" t="n">
        <v>7500</v>
      </c>
      <c r="L28" s="9" t="n">
        <v>7500</v>
      </c>
      <c r="M28" s="9" t="n">
        <v>7500</v>
      </c>
      <c r="N28" s="9" t="n">
        <v>7500</v>
      </c>
      <c r="O28" s="10" t="n">
        <f aca="false">SUM(C28:N28)</f>
        <v>90000</v>
      </c>
    </row>
    <row r="29" customFormat="false" ht="15" hidden="false" customHeight="false" outlineLevel="0" collapsed="false">
      <c r="A29" s="7" t="s">
        <v>56</v>
      </c>
      <c r="B29" s="8" t="s">
        <v>57</v>
      </c>
      <c r="C29" s="9" t="n">
        <v>4800</v>
      </c>
      <c r="D29" s="9" t="n">
        <v>4800</v>
      </c>
      <c r="E29" s="9" t="n">
        <v>4800</v>
      </c>
      <c r="F29" s="9" t="n">
        <v>4800</v>
      </c>
      <c r="G29" s="9" t="n">
        <v>4800</v>
      </c>
      <c r="H29" s="9" t="n">
        <v>4800</v>
      </c>
      <c r="I29" s="9" t="n">
        <v>4800</v>
      </c>
      <c r="J29" s="9" t="n">
        <v>4800</v>
      </c>
      <c r="K29" s="9" t="n">
        <v>4800</v>
      </c>
      <c r="L29" s="9" t="n">
        <v>4800</v>
      </c>
      <c r="M29" s="9" t="n">
        <v>4800</v>
      </c>
      <c r="N29" s="9" t="n">
        <v>4800</v>
      </c>
      <c r="O29" s="10" t="n">
        <f aca="false">SUM(C29:N29)</f>
        <v>57600</v>
      </c>
    </row>
    <row r="30" customFormat="false" ht="15" hidden="false" customHeight="false" outlineLevel="0" collapsed="false">
      <c r="A30" s="7" t="s">
        <v>58</v>
      </c>
      <c r="B30" s="8" t="s">
        <v>59</v>
      </c>
      <c r="C30" s="9" t="n">
        <v>3140</v>
      </c>
      <c r="D30" s="9" t="n">
        <v>2872</v>
      </c>
      <c r="E30" s="9" t="n">
        <v>3346</v>
      </c>
      <c r="F30" s="9" t="n">
        <v>3603</v>
      </c>
      <c r="G30" s="9" t="n">
        <v>4031</v>
      </c>
      <c r="H30" s="9" t="n">
        <v>4471</v>
      </c>
      <c r="I30" s="9" t="n">
        <v>4670</v>
      </c>
      <c r="J30" s="9" t="n">
        <v>4243</v>
      </c>
      <c r="K30" s="9" t="n">
        <v>3637</v>
      </c>
      <c r="L30" s="9" t="n">
        <v>3289</v>
      </c>
      <c r="M30" s="9" t="n">
        <v>3079</v>
      </c>
      <c r="N30" s="9" t="n">
        <v>3640</v>
      </c>
      <c r="O30" s="10" t="n">
        <f aca="false">SUM(C30:N30)</f>
        <v>44021</v>
      </c>
    </row>
    <row r="31" customFormat="false" ht="15" hidden="false" customHeight="false" outlineLevel="0" collapsed="false">
      <c r="A31" s="7" t="s">
        <v>60</v>
      </c>
      <c r="B31" s="8" t="s">
        <v>61</v>
      </c>
      <c r="C31" s="9" t="n">
        <v>895</v>
      </c>
      <c r="D31" s="9" t="n">
        <v>841</v>
      </c>
      <c r="E31" s="9" t="n">
        <v>959</v>
      </c>
      <c r="F31" s="9" t="n">
        <v>1020</v>
      </c>
      <c r="G31" s="9" t="n">
        <v>1163</v>
      </c>
      <c r="H31" s="9" t="n">
        <v>1282</v>
      </c>
      <c r="I31" s="9" t="n">
        <v>1348</v>
      </c>
      <c r="J31" s="9" t="n">
        <v>1245</v>
      </c>
      <c r="K31" s="9" t="n">
        <v>1058</v>
      </c>
      <c r="L31" s="9" t="n">
        <v>949</v>
      </c>
      <c r="M31" s="9" t="n">
        <v>860</v>
      </c>
      <c r="N31" s="9" t="n">
        <v>1041</v>
      </c>
      <c r="O31" s="10" t="n">
        <f aca="false">SUM(C31:N31)</f>
        <v>12661</v>
      </c>
    </row>
    <row r="32" customFormat="false" ht="15" hidden="false" customHeight="false" outlineLevel="0" collapsed="false">
      <c r="A32" s="6"/>
      <c r="B32" s="6" t="s">
        <v>62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customFormat="false" ht="15" hidden="false" customHeight="false" outlineLevel="0" collapsed="false">
      <c r="A33" s="7" t="s">
        <v>63</v>
      </c>
      <c r="B33" s="8" t="s">
        <v>64</v>
      </c>
      <c r="C33" s="9" t="n">
        <v>14500</v>
      </c>
      <c r="D33" s="9" t="n">
        <v>14500</v>
      </c>
      <c r="E33" s="9" t="n">
        <v>14500</v>
      </c>
      <c r="F33" s="9" t="n">
        <v>14500</v>
      </c>
      <c r="G33" s="9" t="n">
        <v>14500</v>
      </c>
      <c r="H33" s="9" t="n">
        <v>14500</v>
      </c>
      <c r="I33" s="9" t="n">
        <v>14500</v>
      </c>
      <c r="J33" s="9" t="n">
        <v>14500</v>
      </c>
      <c r="K33" s="9" t="n">
        <v>14500</v>
      </c>
      <c r="L33" s="9" t="n">
        <v>14500</v>
      </c>
      <c r="M33" s="9" t="n">
        <v>14500</v>
      </c>
      <c r="N33" s="9" t="n">
        <v>14500</v>
      </c>
      <c r="O33" s="10" t="n">
        <f aca="false">SUM(C33:N33)</f>
        <v>174000</v>
      </c>
    </row>
    <row r="34" customFormat="false" ht="15" hidden="false" customHeight="false" outlineLevel="0" collapsed="false">
      <c r="A34" s="7" t="s">
        <v>65</v>
      </c>
      <c r="B34" s="8" t="s">
        <v>66</v>
      </c>
      <c r="C34" s="9" t="n">
        <v>1450</v>
      </c>
      <c r="D34" s="9" t="n">
        <v>1450</v>
      </c>
      <c r="E34" s="9" t="n">
        <v>1450</v>
      </c>
      <c r="F34" s="9" t="n">
        <v>1450</v>
      </c>
      <c r="G34" s="9" t="n">
        <v>1450</v>
      </c>
      <c r="H34" s="9" t="n">
        <v>1450</v>
      </c>
      <c r="I34" s="9" t="n">
        <v>1450</v>
      </c>
      <c r="J34" s="9" t="n">
        <v>1450</v>
      </c>
      <c r="K34" s="9" t="n">
        <v>1450</v>
      </c>
      <c r="L34" s="9" t="n">
        <v>1450</v>
      </c>
      <c r="M34" s="9" t="n">
        <v>1450</v>
      </c>
      <c r="N34" s="9" t="n">
        <v>1450</v>
      </c>
      <c r="O34" s="10" t="n">
        <f aca="false">SUM(C34:N34)</f>
        <v>17400</v>
      </c>
    </row>
    <row r="35" customFormat="false" ht="15" hidden="false" customHeight="false" outlineLevel="0" collapsed="false">
      <c r="A35" s="7" t="s">
        <v>67</v>
      </c>
      <c r="B35" s="8" t="s">
        <v>68</v>
      </c>
      <c r="C35" s="9" t="n">
        <v>580</v>
      </c>
      <c r="D35" s="9" t="n">
        <v>580</v>
      </c>
      <c r="E35" s="9" t="n">
        <v>580</v>
      </c>
      <c r="F35" s="9" t="n">
        <v>580</v>
      </c>
      <c r="G35" s="9" t="n">
        <v>580</v>
      </c>
      <c r="H35" s="9" t="n">
        <v>580</v>
      </c>
      <c r="I35" s="9" t="n">
        <v>580</v>
      </c>
      <c r="J35" s="9" t="n">
        <v>580</v>
      </c>
      <c r="K35" s="9" t="n">
        <v>580</v>
      </c>
      <c r="L35" s="9" t="n">
        <v>580</v>
      </c>
      <c r="M35" s="9" t="n">
        <v>580</v>
      </c>
      <c r="N35" s="9" t="n">
        <v>580</v>
      </c>
      <c r="O35" s="10" t="n">
        <f aca="false">SUM(C35:N35)</f>
        <v>6960</v>
      </c>
    </row>
    <row r="36" customFormat="false" ht="15" hidden="false" customHeight="false" outlineLevel="0" collapsed="false">
      <c r="A36" s="6"/>
      <c r="B36" s="6" t="s">
        <v>69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customFormat="false" ht="15" hidden="false" customHeight="false" outlineLevel="0" collapsed="false">
      <c r="A37" s="7" t="s">
        <v>70</v>
      </c>
      <c r="B37" s="8" t="s">
        <v>71</v>
      </c>
      <c r="C37" s="9" t="n">
        <v>2746</v>
      </c>
      <c r="D37" s="9" t="n">
        <v>2869</v>
      </c>
      <c r="E37" s="9" t="n">
        <v>2627</v>
      </c>
      <c r="F37" s="9" t="n">
        <v>2606</v>
      </c>
      <c r="G37" s="9" t="n">
        <v>2698</v>
      </c>
      <c r="H37" s="9" t="n">
        <v>2518</v>
      </c>
      <c r="I37" s="9" t="n">
        <v>2667</v>
      </c>
      <c r="J37" s="9" t="n">
        <v>2948</v>
      </c>
      <c r="K37" s="9" t="n">
        <v>2374</v>
      </c>
      <c r="L37" s="9" t="n">
        <v>2365</v>
      </c>
      <c r="M37" s="9" t="n">
        <v>2673</v>
      </c>
      <c r="N37" s="9" t="n">
        <v>2470</v>
      </c>
      <c r="O37" s="10" t="n">
        <f aca="false">SUM(C37:N37)</f>
        <v>31561</v>
      </c>
    </row>
    <row r="38" customFormat="false" ht="15" hidden="false" customHeight="false" outlineLevel="0" collapsed="false">
      <c r="A38" s="7" t="s">
        <v>72</v>
      </c>
      <c r="B38" s="8" t="s">
        <v>73</v>
      </c>
      <c r="C38" s="9" t="n">
        <v>640</v>
      </c>
      <c r="D38" s="9" t="n">
        <v>550</v>
      </c>
      <c r="E38" s="9" t="n">
        <v>496</v>
      </c>
      <c r="F38" s="9" t="n">
        <v>599</v>
      </c>
      <c r="G38" s="9" t="n">
        <v>660</v>
      </c>
      <c r="H38" s="9" t="n">
        <v>580</v>
      </c>
      <c r="I38" s="9" t="n">
        <v>529</v>
      </c>
      <c r="J38" s="9" t="n">
        <v>526</v>
      </c>
      <c r="K38" s="9" t="n">
        <v>515</v>
      </c>
      <c r="L38" s="9" t="n">
        <v>529</v>
      </c>
      <c r="M38" s="9" t="n">
        <v>635</v>
      </c>
      <c r="N38" s="9" t="n">
        <v>486</v>
      </c>
      <c r="O38" s="10" t="n">
        <f aca="false">SUM(C38:N38)</f>
        <v>6745</v>
      </c>
    </row>
    <row r="39" customFormat="false" ht="15" hidden="false" customHeight="false" outlineLevel="0" collapsed="false">
      <c r="A39" s="7" t="s">
        <v>74</v>
      </c>
      <c r="B39" s="8" t="s">
        <v>75</v>
      </c>
      <c r="C39" s="9" t="n">
        <v>409</v>
      </c>
      <c r="D39" s="9" t="n">
        <v>404</v>
      </c>
      <c r="E39" s="9" t="n">
        <v>401</v>
      </c>
      <c r="F39" s="9" t="n">
        <v>346</v>
      </c>
      <c r="G39" s="9" t="n">
        <v>394</v>
      </c>
      <c r="H39" s="9" t="n">
        <v>386</v>
      </c>
      <c r="I39" s="9" t="n">
        <v>366</v>
      </c>
      <c r="J39" s="9" t="n">
        <v>361</v>
      </c>
      <c r="K39" s="9" t="n">
        <v>368</v>
      </c>
      <c r="L39" s="9" t="n">
        <v>418</v>
      </c>
      <c r="M39" s="9" t="n">
        <v>344</v>
      </c>
      <c r="N39" s="9" t="n">
        <v>406</v>
      </c>
      <c r="O39" s="10" t="n">
        <f aca="false">SUM(C39:N39)</f>
        <v>4603</v>
      </c>
    </row>
    <row r="40" customFormat="false" ht="15" hidden="false" customHeight="false" outlineLevel="0" collapsed="false">
      <c r="A40" s="7" t="s">
        <v>76</v>
      </c>
      <c r="B40" s="8" t="s">
        <v>77</v>
      </c>
      <c r="C40" s="9" t="n">
        <v>295</v>
      </c>
      <c r="D40" s="9" t="n">
        <v>295</v>
      </c>
      <c r="E40" s="9" t="n">
        <v>295</v>
      </c>
      <c r="F40" s="9" t="n">
        <v>295</v>
      </c>
      <c r="G40" s="9" t="n">
        <v>295</v>
      </c>
      <c r="H40" s="9" t="n">
        <v>295</v>
      </c>
      <c r="I40" s="9" t="n">
        <v>295</v>
      </c>
      <c r="J40" s="9" t="n">
        <v>295</v>
      </c>
      <c r="K40" s="9" t="n">
        <v>295</v>
      </c>
      <c r="L40" s="9" t="n">
        <v>295</v>
      </c>
      <c r="M40" s="9" t="n">
        <v>295</v>
      </c>
      <c r="N40" s="9" t="n">
        <v>295</v>
      </c>
      <c r="O40" s="10" t="n">
        <f aca="false">SUM(C40:N40)</f>
        <v>3540</v>
      </c>
    </row>
    <row r="41" customFormat="false" ht="15" hidden="false" customHeight="false" outlineLevel="0" collapsed="false">
      <c r="A41" s="6"/>
      <c r="B41" s="6" t="s">
        <v>78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customFormat="false" ht="15" hidden="false" customHeight="false" outlineLevel="0" collapsed="false">
      <c r="A42" s="7" t="s">
        <v>79</v>
      </c>
      <c r="B42" s="8" t="s">
        <v>80</v>
      </c>
      <c r="C42" s="9" t="n">
        <v>2317</v>
      </c>
      <c r="D42" s="9" t="n">
        <v>2447</v>
      </c>
      <c r="E42" s="9" t="n">
        <v>2336</v>
      </c>
      <c r="F42" s="9" t="n">
        <v>2290</v>
      </c>
      <c r="G42" s="9" t="n">
        <v>2072</v>
      </c>
      <c r="H42" s="9" t="n">
        <v>2088</v>
      </c>
      <c r="I42" s="9" t="n">
        <v>2356</v>
      </c>
      <c r="J42" s="9" t="n">
        <v>2004</v>
      </c>
      <c r="K42" s="9" t="n">
        <v>2473</v>
      </c>
      <c r="L42" s="9" t="n">
        <v>2068</v>
      </c>
      <c r="M42" s="9" t="n">
        <v>2380</v>
      </c>
      <c r="N42" s="9" t="n">
        <v>2461</v>
      </c>
      <c r="O42" s="10" t="n">
        <f aca="false">SUM(C42:N42)</f>
        <v>27292</v>
      </c>
    </row>
    <row r="43" customFormat="false" ht="15" hidden="false" customHeight="false" outlineLevel="0" collapsed="false">
      <c r="A43" s="7" t="s">
        <v>81</v>
      </c>
      <c r="B43" s="8" t="s">
        <v>82</v>
      </c>
      <c r="C43" s="9" t="n">
        <v>600</v>
      </c>
      <c r="D43" s="9" t="n">
        <v>600</v>
      </c>
      <c r="E43" s="9" t="n">
        <v>600</v>
      </c>
      <c r="F43" s="9" t="n">
        <v>600</v>
      </c>
      <c r="G43" s="9" t="n">
        <v>600</v>
      </c>
      <c r="H43" s="9" t="n">
        <v>600</v>
      </c>
      <c r="I43" s="9" t="n">
        <v>600</v>
      </c>
      <c r="J43" s="9" t="n">
        <v>600</v>
      </c>
      <c r="K43" s="9" t="n">
        <v>600</v>
      </c>
      <c r="L43" s="9" t="n">
        <v>600</v>
      </c>
      <c r="M43" s="9" t="n">
        <v>600</v>
      </c>
      <c r="N43" s="9" t="n">
        <v>600</v>
      </c>
      <c r="O43" s="10" t="n">
        <f aca="false">SUM(C43:N43)</f>
        <v>7200</v>
      </c>
    </row>
    <row r="44" customFormat="false" ht="15" hidden="false" customHeight="false" outlineLevel="0" collapsed="false">
      <c r="A44" s="7" t="s">
        <v>83</v>
      </c>
      <c r="B44" s="8" t="s">
        <v>84</v>
      </c>
      <c r="C44" s="9" t="n">
        <v>395</v>
      </c>
      <c r="F44" s="9" t="n">
        <v>395</v>
      </c>
      <c r="I44" s="9" t="n">
        <v>395</v>
      </c>
      <c r="L44" s="9" t="n">
        <v>395</v>
      </c>
      <c r="O44" s="10" t="n">
        <f aca="false">SUM(C44:N44)</f>
        <v>1580</v>
      </c>
    </row>
    <row r="45" customFormat="false" ht="15" hidden="false" customHeight="false" outlineLevel="0" collapsed="false">
      <c r="A45" s="7" t="s">
        <v>85</v>
      </c>
      <c r="B45" s="8" t="s">
        <v>86</v>
      </c>
      <c r="C45" s="9" t="n">
        <v>1100</v>
      </c>
      <c r="D45" s="9" t="n">
        <v>1100</v>
      </c>
      <c r="E45" s="9" t="n">
        <v>1100</v>
      </c>
      <c r="F45" s="9" t="n">
        <v>1100</v>
      </c>
      <c r="G45" s="9" t="n">
        <v>1100</v>
      </c>
      <c r="H45" s="9" t="n">
        <v>1100</v>
      </c>
      <c r="I45" s="9" t="n">
        <v>3100</v>
      </c>
      <c r="J45" s="9" t="n">
        <v>1100</v>
      </c>
      <c r="K45" s="9" t="n">
        <v>1100</v>
      </c>
      <c r="L45" s="9" t="n">
        <v>1100</v>
      </c>
      <c r="M45" s="9" t="n">
        <v>1100</v>
      </c>
      <c r="N45" s="9" t="n">
        <v>1100</v>
      </c>
      <c r="O45" s="10" t="n">
        <f aca="false">SUM(C45:N45)</f>
        <v>15200</v>
      </c>
    </row>
    <row r="46" customFormat="false" ht="15" hidden="false" customHeight="false" outlineLevel="0" collapsed="false">
      <c r="A46" s="6"/>
      <c r="B46" s="6" t="s">
        <v>87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customFormat="false" ht="15" hidden="false" customHeight="false" outlineLevel="0" collapsed="false">
      <c r="A47" s="7" t="s">
        <v>88</v>
      </c>
      <c r="B47" s="8" t="s">
        <v>89</v>
      </c>
      <c r="C47" s="9" t="n">
        <v>919</v>
      </c>
      <c r="D47" s="9" t="n">
        <v>800</v>
      </c>
      <c r="E47" s="9" t="n">
        <v>805</v>
      </c>
      <c r="F47" s="9" t="n">
        <v>903</v>
      </c>
      <c r="G47" s="9" t="n">
        <v>918</v>
      </c>
      <c r="H47" s="9" t="n">
        <v>820</v>
      </c>
      <c r="I47" s="9" t="n">
        <v>833</v>
      </c>
      <c r="J47" s="9" t="n">
        <v>890</v>
      </c>
      <c r="K47" s="9" t="n">
        <v>829</v>
      </c>
      <c r="L47" s="9" t="n">
        <v>873</v>
      </c>
      <c r="M47" s="9" t="n">
        <v>915</v>
      </c>
      <c r="N47" s="9" t="n">
        <v>895</v>
      </c>
      <c r="O47" s="10" t="n">
        <f aca="false">SUM(C47:N47)</f>
        <v>10400</v>
      </c>
    </row>
    <row r="48" customFormat="false" ht="15" hidden="false" customHeight="false" outlineLevel="0" collapsed="false">
      <c r="A48" s="7" t="s">
        <v>90</v>
      </c>
      <c r="B48" s="8" t="s">
        <v>91</v>
      </c>
      <c r="C48" s="9" t="n">
        <v>75</v>
      </c>
      <c r="F48" s="9" t="n">
        <v>75</v>
      </c>
      <c r="I48" s="9" t="n">
        <v>75</v>
      </c>
      <c r="L48" s="9" t="n">
        <v>75</v>
      </c>
      <c r="O48" s="10" t="n">
        <f aca="false">SUM(C48:N48)</f>
        <v>300</v>
      </c>
    </row>
    <row r="49" customFormat="false" ht="15" hidden="false" customHeight="false" outlineLevel="0" collapsed="false">
      <c r="A49" s="7" t="s">
        <v>92</v>
      </c>
      <c r="B49" s="8" t="s">
        <v>93</v>
      </c>
      <c r="C49" s="9" t="n">
        <v>1542</v>
      </c>
      <c r="D49" s="9" t="n">
        <v>1774</v>
      </c>
      <c r="E49" s="9" t="n">
        <v>1309</v>
      </c>
      <c r="F49" s="9" t="n">
        <v>841</v>
      </c>
      <c r="G49" s="9" t="n">
        <v>476</v>
      </c>
      <c r="H49" s="9" t="n">
        <v>1095</v>
      </c>
      <c r="I49" s="9" t="n">
        <v>1169</v>
      </c>
      <c r="J49" s="9" t="n">
        <v>1339</v>
      </c>
      <c r="K49" s="9" t="n">
        <v>1758</v>
      </c>
      <c r="L49" s="9" t="n">
        <v>810</v>
      </c>
      <c r="M49" s="9" t="n">
        <v>1138</v>
      </c>
      <c r="N49" s="9" t="n">
        <v>956</v>
      </c>
      <c r="O49" s="10" t="n">
        <f aca="false">SUM(C49:N49)</f>
        <v>14207</v>
      </c>
    </row>
    <row r="50" customFormat="false" ht="15" hidden="false" customHeight="false" outlineLevel="0" collapsed="false">
      <c r="A50" s="7" t="s">
        <v>94</v>
      </c>
      <c r="B50" s="8" t="s">
        <v>95</v>
      </c>
      <c r="C50" s="9" t="n">
        <v>95</v>
      </c>
      <c r="D50" s="9" t="n">
        <v>95</v>
      </c>
      <c r="E50" s="9" t="n">
        <v>95</v>
      </c>
      <c r="F50" s="9" t="n">
        <v>95</v>
      </c>
      <c r="G50" s="9" t="n">
        <v>95</v>
      </c>
      <c r="H50" s="9" t="n">
        <v>95</v>
      </c>
      <c r="I50" s="9" t="n">
        <v>95</v>
      </c>
      <c r="J50" s="9" t="n">
        <v>95</v>
      </c>
      <c r="K50" s="9" t="n">
        <v>95</v>
      </c>
      <c r="L50" s="9" t="n">
        <v>95</v>
      </c>
      <c r="M50" s="9" t="n">
        <v>95</v>
      </c>
      <c r="N50" s="9" t="n">
        <v>95</v>
      </c>
      <c r="O50" s="10" t="n">
        <f aca="false">SUM(C50:N50)</f>
        <v>1140</v>
      </c>
    </row>
    <row r="51" customFormat="false" ht="15" hidden="false" customHeight="false" outlineLevel="0" collapsed="false">
      <c r="A51" s="6"/>
      <c r="B51" s="6" t="s">
        <v>96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customFormat="false" ht="15" hidden="false" customHeight="false" outlineLevel="0" collapsed="false">
      <c r="A52" s="7" t="s">
        <v>97</v>
      </c>
      <c r="B52" s="8" t="s">
        <v>98</v>
      </c>
      <c r="C52" s="9" t="n">
        <v>1504</v>
      </c>
      <c r="D52" s="9" t="n">
        <v>1426</v>
      </c>
      <c r="E52" s="9" t="n">
        <v>1708</v>
      </c>
      <c r="F52" s="9" t="n">
        <v>1728</v>
      </c>
      <c r="G52" s="9" t="n">
        <v>1959</v>
      </c>
      <c r="H52" s="9" t="n">
        <v>2137</v>
      </c>
      <c r="I52" s="9" t="n">
        <v>2238</v>
      </c>
      <c r="J52" s="9" t="n">
        <v>2029</v>
      </c>
      <c r="K52" s="9" t="n">
        <v>1723</v>
      </c>
      <c r="L52" s="9" t="n">
        <v>1589</v>
      </c>
      <c r="M52" s="9" t="n">
        <v>1408</v>
      </c>
      <c r="N52" s="9" t="n">
        <v>1798</v>
      </c>
      <c r="O52" s="10" t="n">
        <f aca="false">SUM(C52:N52)</f>
        <v>21247</v>
      </c>
    </row>
    <row r="53" customFormat="false" ht="15" hidden="false" customHeight="false" outlineLevel="0" collapsed="false">
      <c r="A53" s="7" t="s">
        <v>99</v>
      </c>
      <c r="B53" s="8" t="s">
        <v>100</v>
      </c>
      <c r="C53" s="9" t="n">
        <v>969</v>
      </c>
      <c r="D53" s="9" t="n">
        <v>782</v>
      </c>
      <c r="E53" s="9" t="n">
        <v>1022</v>
      </c>
      <c r="F53" s="9" t="n">
        <v>1115</v>
      </c>
      <c r="G53" s="9" t="n">
        <v>1422</v>
      </c>
      <c r="H53" s="9" t="n">
        <v>1589</v>
      </c>
      <c r="I53" s="9" t="n">
        <v>1829</v>
      </c>
      <c r="J53" s="9" t="n">
        <v>1634</v>
      </c>
      <c r="K53" s="9" t="n">
        <v>1172</v>
      </c>
      <c r="L53" s="9" t="n">
        <v>1099</v>
      </c>
      <c r="M53" s="9" t="n">
        <v>1000</v>
      </c>
      <c r="N53" s="9" t="n">
        <v>1235</v>
      </c>
      <c r="O53" s="10" t="n">
        <f aca="false">SUM(C53:N53)</f>
        <v>14868</v>
      </c>
    </row>
    <row r="54" customFormat="false" ht="15" hidden="false" customHeight="false" outlineLevel="0" collapsed="false">
      <c r="A54" s="7" t="s">
        <v>101</v>
      </c>
      <c r="B54" s="8" t="s">
        <v>102</v>
      </c>
      <c r="C54" s="9" t="n">
        <v>149</v>
      </c>
      <c r="D54" s="9" t="n">
        <v>158</v>
      </c>
      <c r="E54" s="9" t="n">
        <v>325</v>
      </c>
      <c r="F54" s="9" t="n">
        <v>325</v>
      </c>
      <c r="G54" s="9" t="n">
        <v>159</v>
      </c>
      <c r="H54" s="9" t="n">
        <v>216</v>
      </c>
      <c r="I54" s="9" t="n">
        <v>169</v>
      </c>
      <c r="J54" s="9" t="n">
        <v>405</v>
      </c>
      <c r="K54" s="9" t="n">
        <v>163</v>
      </c>
      <c r="L54" s="9" t="n">
        <v>175</v>
      </c>
      <c r="M54" s="9" t="n">
        <v>183</v>
      </c>
      <c r="N54" s="9" t="n">
        <v>163</v>
      </c>
      <c r="O54" s="10" t="n">
        <f aca="false">SUM(C54:N54)</f>
        <v>2590</v>
      </c>
    </row>
    <row r="55" customFormat="false" ht="15" hidden="false" customHeight="false" outlineLevel="0" collapsed="false">
      <c r="A55" s="6"/>
      <c r="B55" s="6" t="s">
        <v>103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customFormat="false" ht="15" hidden="false" customHeight="false" outlineLevel="0" collapsed="false">
      <c r="A56" s="7" t="s">
        <v>104</v>
      </c>
      <c r="B56" s="8" t="s">
        <v>105</v>
      </c>
      <c r="C56" s="9" t="n">
        <v>650</v>
      </c>
      <c r="D56" s="9" t="n">
        <v>650</v>
      </c>
      <c r="E56" s="9" t="n">
        <v>650</v>
      </c>
      <c r="F56" s="9" t="n">
        <v>650</v>
      </c>
      <c r="G56" s="9" t="n">
        <v>650</v>
      </c>
      <c r="H56" s="9" t="n">
        <v>650</v>
      </c>
      <c r="I56" s="9" t="n">
        <v>650</v>
      </c>
      <c r="J56" s="9" t="n">
        <v>650</v>
      </c>
      <c r="K56" s="9" t="n">
        <v>650</v>
      </c>
      <c r="L56" s="9" t="n">
        <v>650</v>
      </c>
      <c r="M56" s="9" t="n">
        <v>650</v>
      </c>
      <c r="N56" s="9" t="n">
        <v>650</v>
      </c>
      <c r="O56" s="10" t="n">
        <f aca="false">SUM(C56:N56)</f>
        <v>7800</v>
      </c>
    </row>
    <row r="57" customFormat="false" ht="15" hidden="false" customHeight="false" outlineLevel="0" collapsed="false">
      <c r="A57" s="7" t="s">
        <v>106</v>
      </c>
      <c r="B57" s="8" t="s">
        <v>107</v>
      </c>
      <c r="C57" s="9" t="n">
        <v>220</v>
      </c>
      <c r="D57" s="9" t="n">
        <v>220</v>
      </c>
      <c r="E57" s="9" t="n">
        <v>220</v>
      </c>
      <c r="F57" s="9" t="n">
        <v>220</v>
      </c>
      <c r="G57" s="9" t="n">
        <v>220</v>
      </c>
      <c r="H57" s="9" t="n">
        <v>220</v>
      </c>
      <c r="I57" s="9" t="n">
        <v>220</v>
      </c>
      <c r="J57" s="9" t="n">
        <v>220</v>
      </c>
      <c r="K57" s="9" t="n">
        <v>220</v>
      </c>
      <c r="L57" s="9" t="n">
        <v>220</v>
      </c>
      <c r="M57" s="9" t="n">
        <v>220</v>
      </c>
      <c r="N57" s="9" t="n">
        <v>220</v>
      </c>
      <c r="O57" s="10" t="n">
        <f aca="false">SUM(C57:N57)</f>
        <v>2640</v>
      </c>
    </row>
    <row r="58" customFormat="false" ht="15" hidden="false" customHeight="false" outlineLevel="0" collapsed="false">
      <c r="A58" s="6"/>
      <c r="B58" s="6" t="s">
        <v>108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customFormat="false" ht="15" hidden="false" customHeight="false" outlineLevel="0" collapsed="false">
      <c r="A59" s="7" t="s">
        <v>109</v>
      </c>
      <c r="B59" s="8" t="s">
        <v>110</v>
      </c>
      <c r="E59" s="9" t="n">
        <v>1500</v>
      </c>
      <c r="H59" s="9" t="n">
        <v>1500</v>
      </c>
      <c r="K59" s="9" t="n">
        <v>1500</v>
      </c>
      <c r="N59" s="9" t="n">
        <v>1500</v>
      </c>
      <c r="O59" s="10" t="n">
        <f aca="false">SUM(C59:N59)</f>
        <v>6000</v>
      </c>
    </row>
    <row r="60" customFormat="false" ht="15" hidden="false" customHeight="false" outlineLevel="0" collapsed="false">
      <c r="A60" s="7" t="s">
        <v>111</v>
      </c>
      <c r="B60" s="8" t="s">
        <v>112</v>
      </c>
      <c r="O60" s="10" t="n">
        <f aca="false">SUM(C60:N60)</f>
        <v>0</v>
      </c>
    </row>
    <row r="61" customFormat="false" ht="15" hidden="false" customHeight="false" outlineLevel="0" collapsed="false">
      <c r="A61" s="7" t="s">
        <v>113</v>
      </c>
      <c r="B61" s="8" t="s">
        <v>114</v>
      </c>
      <c r="C61" s="9" t="n">
        <v>185</v>
      </c>
      <c r="D61" s="9" t="n">
        <v>185</v>
      </c>
      <c r="E61" s="9" t="n">
        <v>185</v>
      </c>
      <c r="F61" s="9" t="n">
        <v>185</v>
      </c>
      <c r="G61" s="9" t="n">
        <v>185</v>
      </c>
      <c r="H61" s="9" t="n">
        <v>185</v>
      </c>
      <c r="I61" s="9" t="n">
        <v>185</v>
      </c>
      <c r="J61" s="9" t="n">
        <v>185</v>
      </c>
      <c r="K61" s="9" t="n">
        <v>185</v>
      </c>
      <c r="L61" s="9" t="n">
        <v>185</v>
      </c>
      <c r="M61" s="9" t="n">
        <v>185</v>
      </c>
      <c r="N61" s="9" t="n">
        <v>185</v>
      </c>
      <c r="O61" s="10" t="n">
        <f aca="false">SUM(C61:N61)</f>
        <v>2220</v>
      </c>
    </row>
    <row r="62" customFormat="false" ht="15" hidden="false" customHeight="false" outlineLevel="0" collapsed="false">
      <c r="A62" s="6"/>
      <c r="B62" s="6" t="s">
        <v>115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customFormat="false" ht="15" hidden="false" customHeight="false" outlineLevel="0" collapsed="false">
      <c r="A63" s="7" t="s">
        <v>116</v>
      </c>
      <c r="B63" s="8" t="s">
        <v>117</v>
      </c>
      <c r="C63" s="9" t="n">
        <v>2113</v>
      </c>
      <c r="D63" s="9" t="n">
        <v>1921</v>
      </c>
      <c r="E63" s="9" t="n">
        <v>2373</v>
      </c>
      <c r="F63" s="9" t="n">
        <v>2556</v>
      </c>
      <c r="G63" s="9" t="n">
        <v>3074</v>
      </c>
      <c r="H63" s="9" t="n">
        <v>3469</v>
      </c>
      <c r="I63" s="9" t="n">
        <v>3737</v>
      </c>
      <c r="J63" s="9" t="n">
        <v>3391</v>
      </c>
      <c r="K63" s="9" t="n">
        <v>2666</v>
      </c>
      <c r="L63" s="9" t="n">
        <v>2323</v>
      </c>
      <c r="M63" s="9" t="n">
        <v>2040</v>
      </c>
      <c r="N63" s="9" t="n">
        <v>2658</v>
      </c>
      <c r="O63" s="10" t="n">
        <f aca="false">SUM(C63:N63)</f>
        <v>32321</v>
      </c>
    </row>
    <row r="64" customFormat="false" ht="15" hidden="false" customHeight="false" outlineLevel="0" collapsed="false">
      <c r="A64" s="7" t="s">
        <v>118</v>
      </c>
      <c r="B64" s="8" t="s">
        <v>119</v>
      </c>
      <c r="C64" s="9" t="n">
        <v>15</v>
      </c>
      <c r="D64" s="9" t="n">
        <v>50</v>
      </c>
      <c r="E64" s="9" t="n">
        <v>22</v>
      </c>
      <c r="F64" s="9" t="n">
        <v>32</v>
      </c>
      <c r="G64" s="9" t="n">
        <v>75</v>
      </c>
      <c r="H64" s="9" t="n">
        <v>39</v>
      </c>
      <c r="I64" s="9" t="n">
        <v>40</v>
      </c>
      <c r="J64" s="9" t="n">
        <v>19</v>
      </c>
      <c r="K64" s="9" t="n">
        <v>8</v>
      </c>
      <c r="L64" s="9" t="n">
        <v>31</v>
      </c>
      <c r="M64" s="9" t="n">
        <v>52</v>
      </c>
      <c r="N64" s="9" t="n">
        <v>65</v>
      </c>
      <c r="O64" s="10" t="n">
        <f aca="false">SUM(C64:N64)</f>
        <v>448</v>
      </c>
    </row>
    <row r="65" customFormat="false" ht="15" hidden="false" customHeight="false" outlineLevel="0" collapsed="false">
      <c r="A65" s="7" t="s">
        <v>120</v>
      </c>
      <c r="B65" s="8" t="s">
        <v>121</v>
      </c>
      <c r="C65" s="9" t="n">
        <v>59</v>
      </c>
      <c r="D65" s="9" t="n">
        <v>179</v>
      </c>
      <c r="E65" s="9" t="n">
        <v>570</v>
      </c>
      <c r="F65" s="9" t="n">
        <v>339</v>
      </c>
      <c r="G65" s="9" t="n">
        <v>25</v>
      </c>
      <c r="H65" s="9" t="n">
        <v>167</v>
      </c>
      <c r="I65" s="9" t="n">
        <v>274</v>
      </c>
      <c r="J65" s="9" t="n">
        <v>79</v>
      </c>
      <c r="K65" s="9" t="n">
        <v>109</v>
      </c>
      <c r="L65" s="9" t="n">
        <v>593</v>
      </c>
      <c r="M65" s="9" t="n">
        <v>281</v>
      </c>
      <c r="N65" s="9" t="n">
        <v>302</v>
      </c>
      <c r="O65" s="10" t="n">
        <f aca="false">SUM(C65:N65)</f>
        <v>2977</v>
      </c>
    </row>
    <row r="66" customFormat="false" ht="15" hidden="false" customHeight="false" outlineLevel="0" collapsed="false">
      <c r="A66" s="6"/>
      <c r="B66" s="6" t="s">
        <v>122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customFormat="false" ht="15" hidden="false" customHeight="false" outlineLevel="0" collapsed="false">
      <c r="A67" s="7" t="s">
        <v>123</v>
      </c>
      <c r="B67" s="8" t="s">
        <v>124</v>
      </c>
      <c r="C67" s="9" t="n">
        <v>307</v>
      </c>
      <c r="D67" s="9" t="n">
        <v>367</v>
      </c>
      <c r="E67" s="9" t="n">
        <v>411</v>
      </c>
      <c r="F67" s="9" t="n">
        <v>364</v>
      </c>
      <c r="G67" s="9" t="n">
        <v>242</v>
      </c>
      <c r="H67" s="9" t="n">
        <v>152</v>
      </c>
      <c r="I67" s="9" t="n">
        <v>171</v>
      </c>
      <c r="J67" s="9" t="n">
        <v>168</v>
      </c>
      <c r="K67" s="9" t="n">
        <v>404</v>
      </c>
      <c r="L67" s="9" t="n">
        <v>346</v>
      </c>
      <c r="M67" s="9" t="n">
        <v>340</v>
      </c>
      <c r="N67" s="9" t="n">
        <v>228</v>
      </c>
      <c r="O67" s="10" t="n">
        <f aca="false">SUM(C67:N67)</f>
        <v>3500</v>
      </c>
    </row>
    <row r="68" customFormat="false" ht="15" hidden="false" customHeight="false" outlineLevel="0" collapsed="false">
      <c r="A68" s="7" t="s">
        <v>125</v>
      </c>
      <c r="B68" s="8" t="s">
        <v>126</v>
      </c>
      <c r="C68" s="9" t="n">
        <v>39</v>
      </c>
      <c r="D68" s="9" t="n">
        <v>131</v>
      </c>
      <c r="E68" s="9" t="n">
        <v>137</v>
      </c>
      <c r="F68" s="9" t="n">
        <v>55</v>
      </c>
      <c r="G68" s="9" t="n">
        <v>127</v>
      </c>
      <c r="H68" s="9" t="n">
        <v>22</v>
      </c>
      <c r="I68" s="9" t="n">
        <v>95</v>
      </c>
      <c r="J68" s="9" t="n">
        <v>125</v>
      </c>
      <c r="K68" s="9" t="n">
        <v>103</v>
      </c>
      <c r="L68" s="9" t="n">
        <v>70</v>
      </c>
      <c r="M68" s="9" t="n">
        <v>39</v>
      </c>
      <c r="N68" s="9" t="n">
        <v>70</v>
      </c>
      <c r="O68" s="10" t="n">
        <f aca="false">SUM(C68:N68)</f>
        <v>1013</v>
      </c>
    </row>
    <row r="69" customFormat="false" ht="15" hidden="false" customHeight="false" outlineLevel="0" collapsed="false">
      <c r="A69" s="7" t="s">
        <v>127</v>
      </c>
      <c r="B69" s="8" t="s">
        <v>128</v>
      </c>
      <c r="H69" s="9" t="n">
        <v>125</v>
      </c>
      <c r="N69" s="9" t="n">
        <v>466</v>
      </c>
      <c r="O69" s="10" t="n">
        <f aca="false">SUM(C69:N69)</f>
        <v>591</v>
      </c>
    </row>
    <row r="70" customFormat="false" ht="15" hidden="false" customHeight="false" outlineLevel="0" collapsed="false">
      <c r="A70" s="7" t="s">
        <v>129</v>
      </c>
      <c r="B70" s="8" t="s">
        <v>130</v>
      </c>
      <c r="C70" s="9" t="n">
        <v>250</v>
      </c>
      <c r="F70" s="9" t="n">
        <v>250</v>
      </c>
      <c r="I70" s="9" t="n">
        <v>250</v>
      </c>
      <c r="L70" s="9" t="n">
        <v>250</v>
      </c>
      <c r="O70" s="10" t="n">
        <f aca="false">SUM(C70:N70)</f>
        <v>1000</v>
      </c>
    </row>
    <row r="71" customFormat="false" ht="15" hidden="false" customHeight="false" outlineLevel="0" collapsed="false">
      <c r="A71" s="7" t="s">
        <v>131</v>
      </c>
      <c r="B71" s="8" t="s">
        <v>132</v>
      </c>
      <c r="C71" s="9" t="n">
        <v>202</v>
      </c>
      <c r="D71" s="9" t="n">
        <v>91</v>
      </c>
      <c r="E71" s="9" t="n">
        <v>89</v>
      </c>
      <c r="F71" s="9" t="n">
        <v>84</v>
      </c>
      <c r="G71" s="9" t="n">
        <v>203</v>
      </c>
      <c r="I71" s="9" t="n">
        <v>181</v>
      </c>
      <c r="J71" s="9" t="n">
        <v>32</v>
      </c>
      <c r="K71" s="9" t="n">
        <v>85</v>
      </c>
      <c r="L71" s="9" t="n">
        <v>176</v>
      </c>
      <c r="M71" s="9" t="n">
        <v>17</v>
      </c>
      <c r="N71" s="9" t="n">
        <v>36</v>
      </c>
      <c r="O71" s="10" t="n">
        <f aca="false">SUM(C71:N71)</f>
        <v>1196</v>
      </c>
    </row>
    <row r="72" customFormat="false" ht="15" hidden="false" customHeight="false" outlineLevel="0" collapsed="false">
      <c r="A72" s="7" t="s">
        <v>133</v>
      </c>
      <c r="B72" s="8" t="s">
        <v>134</v>
      </c>
      <c r="C72" s="9" t="n">
        <v>379</v>
      </c>
      <c r="D72" s="9" t="n">
        <v>712</v>
      </c>
      <c r="E72" s="9" t="n">
        <v>479</v>
      </c>
      <c r="F72" s="9" t="n">
        <v>327</v>
      </c>
      <c r="G72" s="9" t="n">
        <v>511</v>
      </c>
      <c r="H72" s="9" t="n">
        <v>512</v>
      </c>
      <c r="I72" s="9" t="n">
        <v>362</v>
      </c>
      <c r="J72" s="9" t="n">
        <v>554</v>
      </c>
      <c r="K72" s="9" t="n">
        <v>404</v>
      </c>
      <c r="L72" s="9" t="n">
        <v>326</v>
      </c>
      <c r="M72" s="9" t="n">
        <v>586</v>
      </c>
      <c r="N72" s="9" t="n">
        <v>620</v>
      </c>
      <c r="O72" s="10" t="n">
        <f aca="false">SUM(C72:N72)</f>
        <v>5772</v>
      </c>
    </row>
    <row r="73" customFormat="false" ht="15" hidden="false" customHeight="false" outlineLevel="0" collapsed="false">
      <c r="A73" s="7" t="s">
        <v>135</v>
      </c>
      <c r="B73" s="8" t="s">
        <v>136</v>
      </c>
      <c r="C73" s="9" t="n">
        <v>280</v>
      </c>
      <c r="D73" s="9" t="n">
        <v>280</v>
      </c>
      <c r="E73" s="9" t="n">
        <v>280</v>
      </c>
      <c r="F73" s="9" t="n">
        <v>280</v>
      </c>
      <c r="G73" s="9" t="n">
        <v>280</v>
      </c>
      <c r="H73" s="9" t="n">
        <v>280</v>
      </c>
      <c r="I73" s="9" t="n">
        <v>280</v>
      </c>
      <c r="J73" s="9" t="n">
        <v>280</v>
      </c>
      <c r="K73" s="9" t="n">
        <v>280</v>
      </c>
      <c r="L73" s="9" t="n">
        <v>280</v>
      </c>
      <c r="M73" s="9" t="n">
        <v>280</v>
      </c>
      <c r="N73" s="9" t="n">
        <v>280</v>
      </c>
      <c r="O73" s="10" t="n">
        <f aca="false">SUM(C73:N73)</f>
        <v>3360</v>
      </c>
    </row>
    <row r="74" customFormat="false" ht="15" hidden="false" customHeight="false" outlineLevel="0" collapsed="false">
      <c r="A74" s="7" t="s">
        <v>137</v>
      </c>
      <c r="B74" s="8" t="s">
        <v>138</v>
      </c>
      <c r="C74" s="9" t="n">
        <v>1650</v>
      </c>
      <c r="D74" s="9" t="n">
        <v>1650</v>
      </c>
      <c r="E74" s="9" t="n">
        <v>1650</v>
      </c>
      <c r="F74" s="9" t="n">
        <v>1650</v>
      </c>
      <c r="G74" s="9" t="n">
        <v>1650</v>
      </c>
      <c r="H74" s="9" t="n">
        <v>1650</v>
      </c>
      <c r="I74" s="9" t="n">
        <v>1650</v>
      </c>
      <c r="J74" s="9" t="n">
        <v>1650</v>
      </c>
      <c r="K74" s="9" t="n">
        <v>1650</v>
      </c>
      <c r="L74" s="9" t="n">
        <v>1650</v>
      </c>
      <c r="M74" s="9" t="n">
        <v>1650</v>
      </c>
      <c r="N74" s="9" t="n">
        <v>1650</v>
      </c>
      <c r="O74" s="10" t="n">
        <f aca="false">SUM(C74:N74)</f>
        <v>19800</v>
      </c>
    </row>
    <row r="75" customFormat="false" ht="15" hidden="false" customHeight="false" outlineLevel="0" collapsed="false">
      <c r="A75" s="7" t="s">
        <v>139</v>
      </c>
      <c r="B75" s="8" t="s">
        <v>140</v>
      </c>
      <c r="C75" s="9" t="n">
        <v>428</v>
      </c>
      <c r="D75" s="9" t="n">
        <v>394</v>
      </c>
      <c r="E75" s="9" t="n">
        <v>441</v>
      </c>
      <c r="F75" s="9" t="n">
        <v>427</v>
      </c>
      <c r="G75" s="9" t="n">
        <v>409</v>
      </c>
      <c r="H75" s="9" t="n">
        <v>434</v>
      </c>
      <c r="I75" s="9" t="n">
        <v>409</v>
      </c>
      <c r="J75" s="9" t="n">
        <v>435</v>
      </c>
      <c r="K75" s="9" t="n">
        <v>400</v>
      </c>
      <c r="L75" s="9" t="n">
        <v>420</v>
      </c>
      <c r="M75" s="9" t="n">
        <v>413</v>
      </c>
      <c r="N75" s="9" t="n">
        <v>448</v>
      </c>
      <c r="O75" s="10" t="n">
        <f aca="false">SUM(C75:N75)</f>
        <v>5058</v>
      </c>
    </row>
    <row r="76" customFormat="false" ht="15" hidden="false" customHeight="false" outlineLevel="0" collapsed="false">
      <c r="A76" s="7" t="s">
        <v>141</v>
      </c>
      <c r="B76" s="8" t="s">
        <v>142</v>
      </c>
      <c r="C76" s="9" t="n">
        <v>268</v>
      </c>
      <c r="D76" s="9" t="n">
        <v>134</v>
      </c>
      <c r="E76" s="9" t="n">
        <v>103</v>
      </c>
      <c r="F76" s="9" t="n">
        <v>211</v>
      </c>
      <c r="G76" s="9" t="n">
        <v>187</v>
      </c>
      <c r="H76" s="9" t="n">
        <v>102</v>
      </c>
      <c r="I76" s="9" t="n">
        <v>78</v>
      </c>
      <c r="J76" s="9" t="n">
        <v>268</v>
      </c>
      <c r="K76" s="9" t="n">
        <v>139</v>
      </c>
      <c r="L76" s="9" t="n">
        <v>229</v>
      </c>
      <c r="M76" s="9" t="n">
        <v>342</v>
      </c>
      <c r="N76" s="9" t="n">
        <v>39</v>
      </c>
      <c r="O76" s="10" t="n">
        <f aca="false">SUM(C76:N76)</f>
        <v>2100</v>
      </c>
    </row>
    <row r="77" customFormat="false" ht="15" hidden="false" customHeight="false" outlineLevel="0" collapsed="false">
      <c r="B77" s="11" t="s">
        <v>143</v>
      </c>
      <c r="C77" s="12" t="n">
        <f aca="false">C23+C24+C25+C26+C27+C28+C29+C30+C31+C33+C34+C35+C37+C38+C39+C40+C42+C43+C44+C45+C47+C48+C49+C50+C52+C53+C54+C56+C57+C59+C60+C61+C63+C64+C65+C67+C68+C69+C70+C71+C72+C73+C74+C75+C76</f>
        <v>94922</v>
      </c>
      <c r="D77" s="12" t="n">
        <f aca="false">D23+D24+D25+D26+D27+D28+D29+D30+D31+D33+D34+D35+D37+D38+D39+D40+D42+D43+D44+D45+D47+D48+D49+D50+D52+D53+D54+D56+D57+D59+D60+D61+D63+D64+D65+D67+D68+D69+D70+D71+D72+D73+D74+D75+D76</f>
        <v>91147</v>
      </c>
      <c r="E77" s="12" t="n">
        <f aca="false">E23+E24+E25+E26+E27+E28+E29+E30+E31+E33+E34+E35+E37+E38+E39+E40+E42+E43+E44+E45+E47+E48+E49+E50+E52+E53+E54+E56+E57+E59+E60+E61+E63+E64+E65+E67+E68+E69+E70+E71+E72+E73+E74+E75+E76</f>
        <v>99246</v>
      </c>
      <c r="F77" s="12" t="n">
        <f aca="false">F23+F24+F25+F26+F27+F28+F29+F30+F31+F33+F34+F35+F37+F38+F39+F40+F42+F43+F44+F45+F47+F48+F49+F50+F52+F53+F54+F56+F57+F59+F60+F61+F63+F64+F65+F67+F68+F69+F70+F71+F72+F73+F74+F75+F76</f>
        <v>100892</v>
      </c>
      <c r="G77" s="12" t="n">
        <f aca="false">G23+G24+G25+G26+G27+G28+G29+G30+G31+G33+G34+G35+G37+G38+G39+G40+G42+G43+G44+G45+G47+G48+G49+G50+G52+G53+G54+G56+G57+G59+G60+G61+G63+G64+G65+G67+G68+G69+G70+G71+G72+G73+G74+G75+G76</f>
        <v>107928</v>
      </c>
      <c r="H77" s="12" t="n">
        <f aca="false">H23+H24+H25+H26+H27+H28+H29+H30+H31+H33+H34+H35+H37+H38+H39+H40+H42+H43+H44+H45+H47+H48+H49+H50+H52+H53+H54+H56+H57+H59+H60+H61+H63+H64+H65+H67+H68+H69+H70+H71+H72+H73+H74+H75+H76</f>
        <v>115940</v>
      </c>
      <c r="I77" s="12" t="n">
        <f aca="false">I23+I24+I25+I26+I27+I28+I29+I30+I31+I33+I34+I35+I37+I38+I39+I40+I42+I43+I44+I45+I47+I48+I49+I50+I52+I53+I54+I56+I57+I59+I60+I61+I63+I64+I65+I67+I68+I69+I70+I71+I72+I73+I74+I75+I76</f>
        <v>121807</v>
      </c>
      <c r="J77" s="12" t="n">
        <f aca="false">J23+J24+J25+J26+J27+J28+J29+J30+J31+J33+J34+J35+J37+J38+J39+J40+J42+J43+J44+J45+J47+J48+J49+J50+J52+J53+J54+J56+J57+J59+J60+J61+J63+J64+J65+J67+J68+J69+J70+J71+J72+J73+J74+J75+J76</f>
        <v>113072</v>
      </c>
      <c r="K77" s="12" t="n">
        <f aca="false">K23+K24+K25+K26+K27+K28+K29+K30+K31+K33+K34+K35+K37+K38+K39+K40+K42+K43+K44+K45+K47+K48+K49+K50+K52+K53+K54+K56+K57+K59+K60+K61+K63+K64+K65+K67+K68+K69+K70+K71+K72+K73+K74+K75+K76</f>
        <v>104216</v>
      </c>
      <c r="L77" s="12" t="n">
        <f aca="false">L23+L24+L25+L26+L27+L28+L29+L30+L31+L33+L34+L35+L37+L38+L39+L40+L42+L43+L44+L45+L47+L48+L49+L50+L52+L53+L54+L56+L57+L59+L60+L61+L63+L64+L65+L67+L68+L69+L70+L71+L72+L73+L74+L75+L76</f>
        <v>97352</v>
      </c>
      <c r="M77" s="12" t="n">
        <f aca="false">M23+M24+M25+M26+M27+M28+M29+M30+M31+M33+M34+M35+M37+M38+M39+M40+M42+M43+M44+M45+M47+M48+M49+M50+M52+M53+M54+M56+M57+M59+M60+M61+M63+M64+M65+M67+M68+M69+M70+M71+M72+M73+M74+M75+M76</f>
        <v>92486</v>
      </c>
      <c r="N77" s="12" t="n">
        <f aca="false">N23+N24+N25+N26+N27+N28+N29+N30+N31+N33+N34+N35+N37+N38+N39+N40+N42+N43+N44+N45+N47+N48+N49+N50+N52+N53+N54+N56+N57+N59+N60+N61+N63+N64+N65+N67+N68+N69+N70+N71+N72+N73+N74+N75+N76</f>
        <v>103530</v>
      </c>
      <c r="O77" s="12" t="n">
        <f aca="false">O23+O24+O25+O26+O27+O28+O29+O30+O31+O33+O34+O35+O37+O38+O39+O40+O42+O43+O44+O45+O47+O48+O49+O50+O52+O53+O54+O56+O57+O59+O60+O61+O63+O64+O65+O67+O68+O69+O70+O71+O72+O73+O74+O75+O76</f>
        <v>1242538</v>
      </c>
    </row>
    <row r="78" customFormat="false" ht="15" hidden="false" customHeight="false" outlineLevel="0" collapsed="false">
      <c r="B78" s="11" t="s">
        <v>144</v>
      </c>
      <c r="C78" s="12" t="n">
        <f aca="false">C20-C77</f>
        <v>-11687</v>
      </c>
      <c r="D78" s="12" t="n">
        <f aca="false">D20-D77</f>
        <v>-14975</v>
      </c>
      <c r="E78" s="12" t="n">
        <f aca="false">E20-E77</f>
        <v>-6661</v>
      </c>
      <c r="F78" s="12" t="n">
        <f aca="false">F20-F77</f>
        <v>185</v>
      </c>
      <c r="G78" s="12" t="n">
        <f aca="false">G20-G77</f>
        <v>12852</v>
      </c>
      <c r="H78" s="12" t="n">
        <f aca="false">H20-H77</f>
        <v>21754</v>
      </c>
      <c r="I78" s="12" t="n">
        <f aca="false">I20-I77</f>
        <v>23862</v>
      </c>
      <c r="J78" s="12" t="n">
        <f aca="false">J20-J77</f>
        <v>17873</v>
      </c>
      <c r="K78" s="12" t="n">
        <f aca="false">K20-K77</f>
        <v>1429</v>
      </c>
      <c r="L78" s="12" t="n">
        <f aca="false">L20-L77</f>
        <v>-6222</v>
      </c>
      <c r="M78" s="12" t="n">
        <f aca="false">M20-M77</f>
        <v>-12093</v>
      </c>
      <c r="N78" s="12" t="n">
        <f aca="false">N20-N77</f>
        <v>161</v>
      </c>
      <c r="O78" s="12" t="n">
        <f aca="false">O20-O77</f>
        <v>26478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2026-03-23T07:58:53Z</dcterms:created>
  <dc:creator>openpyxl</dc:creator>
  <dc:description/>
  <dc:language>en-US</dc:language>
  <cp:lastModifiedBy/>
  <dcterms:modified xsi:type="dcterms:W3CDTF">2026-03-23T07:58:53Z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