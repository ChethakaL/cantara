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0" name="QB_DATA_0">'Balance Sheets DogPlay'!$4:$4,'Balance Sheets DogPlay'!$5:$5,'Balance Sheets DogPlay'!$6:$6,'Balance Sheets DogPlay'!$7:$7,'Balance Sheets DogPlay'!$8:$8,'Balance Sheets DogPlay'!$9:$9,'Balance Sheets DogPlay'!$10:$10,'Balance Sheets DogPlay'!$11:$11,'Balance Sheets DogPlay'!$12:$12,'Balance Sheets DogPlay'!$13:$13,'Balance Sheets DogPlay'!$16:$16,'Balance Sheets DogPlay'!$17:$17,'Balance Sheets DogPlay'!$18:$18,'Balance Sheets DogPlay'!$19:$19,'Balance Sheets DogPlay'!$20:$20,'Balance Sheets DogPlay'!$24:$24</definedName>
    <definedName localSheetId="0" name="QB_DATA_1">'Balance Sheets DogPlay'!$26:$26,'Balance Sheets DogPlay'!$27:$27,'Balance Sheets DogPlay'!$28:$28,'Balance Sheets DogPlay'!$29:$29,'Balance Sheets DogPlay'!$30:$30,'Balance Sheets DogPlay'!$31:$31,'Balance Sheets DogPlay'!$32:$32,'Balance Sheets DogPlay'!$33:$33,'Balance Sheets DogPlay'!$34:$34,'Balance Sheets DogPlay'!$35:$35,'Balance Sheets DogPlay'!$36:$36,'Balance Sheets DogPlay'!$37:$37,'Balance Sheets DogPlay'!$38:$38,'Balance Sheets DogPlay'!$39:$39,'Balance Sheets DogPlay'!$40:$40,'Balance Sheets DogPlay'!$41:$41</definedName>
    <definedName localSheetId="0" name="QB_DATA_2">'Balance Sheets DogPlay'!$42:$42,'Balance Sheets DogPlay'!$43:$43,'Balance Sheets DogPlay'!$44:$44,'Balance Sheets DogPlay'!$45:$45,'Balance Sheets DogPlay'!$48:$48,'Balance Sheets DogPlay'!$49:$49,'Balance Sheets DogPlay'!$51:$51,'Balance Sheets DogPlay'!$52:$52,'Balance Sheets DogPlay'!$53:$53,'Balance Sheets DogPlay'!$54:$54,'Balance Sheets DogPlay'!$55:$55,'Balance Sheets DogPlay'!$57:$57,'Balance Sheets DogPlay'!$58:$58,'Balance Sheets DogPlay'!$60:$60,'Balance Sheets DogPlay'!$61:$61,'Balance Sheets DogPlay'!$62:$62</definedName>
    <definedName localSheetId="0" name="QB_DATA_3">'Balance Sheets DogPlay'!$63:$63,'Balance Sheets DogPlay'!$64:$64,'Balance Sheets DogPlay'!$65:$65,'Balance Sheets DogPlay'!$66:$66,'Balance Sheets DogPlay'!$68:$68,'Balance Sheets DogPlay'!$69:$69,'Balance Sheets DogPlay'!$70:$70,'Balance Sheets DogPlay'!$71:$71,'Balance Sheets DogPlay'!$72:$72,'Balance Sheets DogPlay'!$73:$73,'Balance Sheets DogPlay'!$74:$74,'Balance Sheets DogPlay'!$75:$75,'Balance Sheets DogPlay'!$76:$76,'Balance Sheets DogPlay'!$81:$81,'Balance Sheets DogPlay'!$83:$83,'Balance Sheets DogPlay'!$84:$84</definedName>
    <definedName localSheetId="0" name="QB_DATA_4">'Balance Sheets DogPlay'!$85:$85,'Balance Sheets DogPlay'!$86:$86,'Balance Sheets DogPlay'!$87:$87,'Balance Sheets DogPlay'!$88:$88</definedName>
    <definedName localSheetId="0" name="QB_FORMULA_0">'Balance Sheets DogPlay'!$Q$14,'Balance Sheets DogPlay'!$Q$21,'Balance Sheets DogPlay'!$Q$22,'Balance Sheets DogPlay'!$Q$46,'Balance Sheets DogPlay'!$Q$56,'Balance Sheets DogPlay'!$Q$67,'Balance Sheets DogPlay'!$Q$77,'Balance Sheets DogPlay'!$Q$78,'Balance Sheets DogPlay'!$Q$79,'Balance Sheets DogPlay'!$Q$89,'Balance Sheets DogPlay'!$Q$90,'Balance Sheets DogPlay'!$Q$91</definedName>
    <definedName localSheetId="0" name="QBCANSUPPORTUPDATE">TRUE</definedName>
    <definedName localSheetId="0" name="QBCOMPANYFILENAME">"C:\Users\Public\Documents\Intuit\QuickBooks\Company Files\DogPlay 3 07292020.qbw"</definedName>
    <definedName localSheetId="0" name="QBENDDATE">20210831</definedName>
    <definedName localSheetId="0" name="QBHEADERSONSCREEN">FALSE</definedName>
    <definedName localSheetId="0" name="QBMETADATASIZE">5931</definedName>
    <definedName localSheetId="0" name="QBPRESERVECOLOR">TRUE</definedName>
    <definedName localSheetId="0" name="QBPRESERVEFONT">TRUE</definedName>
    <definedName localSheetId="0" name="QBPRESERVEROWHEIGHT">TRUE</definedName>
    <definedName localSheetId="0" name="QBPRESERVESPACE">TRUE</definedName>
    <definedName localSheetId="0" name="QBREPORTCOLAXIS">0</definedName>
    <definedName localSheetId="0" name="QBREPORTCOMPANYID">"2aece30536f64c0196969416898e8b13"</definedName>
    <definedName localSheetId="0" name="QBREPORTCOMPARECOL_ANNUALBUDGET">FALSE</definedName>
    <definedName localSheetId="0" name="QBREPORTCOMPARECOL_AVGCOGS">FALSE</definedName>
    <definedName localSheetId="0" name="QBREPORTCOMPARECOL_AVGPRICE">FALSE</definedName>
    <definedName localSheetId="0" name="QBREPORTCOMPARECOL_BUDDIFF">FALSE</definedName>
    <definedName localSheetId="0" name="QBREPORTCOMPARECOL_BUDGET">FALSE</definedName>
    <definedName localSheetId="0" name="QBREPORTCOMPARECOL_BUDPCT">FALSE</definedName>
    <definedName localSheetId="0" name="QBREPORTCOMPARECOL_COGS">FALSE</definedName>
    <definedName localSheetId="0" name="QBREPORTCOMPARECOL_EXCLUDEAMOUNT">FALSE</definedName>
    <definedName localSheetId="0" name="QBREPORTCOMPARECOL_EXCLUDECURPERIOD">FALSE</definedName>
    <definedName localSheetId="0" name="QBREPORTCOMPARECOL_FORECAST">FALSE</definedName>
    <definedName localSheetId="0" name="QBREPORTCOMPARECOL_GROSSMARGIN">FALSE</definedName>
    <definedName localSheetId="0" name="QBREPORTCOMPARECOL_GROSSMARGINPCT">FALSE</definedName>
    <definedName localSheetId="0" name="QBREPORTCOMPARECOL_HOURS">FALSE</definedName>
    <definedName localSheetId="0" name="QBREPORTCOMPARECOL_PCTCOL">FALSE</definedName>
    <definedName localSheetId="0" name="QBREPORTCOMPARECOL_PCTEXPENSE">FALSE</definedName>
    <definedName localSheetId="0" name="QBREPORTCOMPARECOL_PCTINCOME">FALSE</definedName>
    <definedName localSheetId="0" name="QBREPORTCOMPARECOL_PCTOFSALES">FALSE</definedName>
    <definedName localSheetId="0" name="QBREPORTCOMPARECOL_PCTROW">FALSE</definedName>
    <definedName localSheetId="0" name="QBREPORTCOMPARECOL_PPDIFF">FALSE</definedName>
    <definedName localSheetId="0" name="QBREPORTCOMPARECOL_PPPCT">FALSE</definedName>
    <definedName localSheetId="0" name="QBREPORTCOMPARECOL_PREVPERIOD">FALSE</definedName>
    <definedName localSheetId="0" name="QBREPORTCOMPARECOL_PREVYEAR">FALSE</definedName>
    <definedName localSheetId="0" name="QBREPORTCOMPARECOL_PYDIFF">FALSE</definedName>
    <definedName localSheetId="0" name="QBREPORTCOMPARECOL_PYPCT">FALSE</definedName>
    <definedName localSheetId="0" name="QBREPORTCOMPARECOL_QTY">FALSE</definedName>
    <definedName localSheetId="0" name="QBREPORTCOMPARECOL_RATE">FALSE</definedName>
    <definedName localSheetId="0" name="QBREPORTCOMPARECOL_TRIPBILLEDMILES">FALSE</definedName>
    <definedName localSheetId="0" name="QBREPORTCOMPARECOL_TRIPBILLINGAMOUNT">FALSE</definedName>
    <definedName localSheetId="0" name="QBREPORTCOMPARECOL_TRIPMILES">FALSE</definedName>
    <definedName localSheetId="0" name="QBREPORTCOMPARECOL_TRIPNOTBILLABLEMILES">FALSE</definedName>
    <definedName localSheetId="0" name="QBREPORTCOMPARECOL_TRIPTAXDEDUCTIBLEAMOUNT">FALSE</definedName>
    <definedName localSheetId="0" name="QBREPORTCOMPARECOL_TRIPUNBILLEDMILES">FALSE</definedName>
    <definedName localSheetId="0" name="QBREPORTCOMPARECOL_YTD">FALSE</definedName>
    <definedName localSheetId="0" name="QBREPORTCOMPARECOL_YTDBUDGET">FALSE</definedName>
    <definedName localSheetId="0" name="QBREPORTCOMPARECOL_YTDPCT">FALSE</definedName>
    <definedName localSheetId="0" name="QBREPORTROWAXIS">11</definedName>
    <definedName localSheetId="0" name="QBREPORTSUBCOLAXIS">0</definedName>
    <definedName localSheetId="0" name="QBREPORTTYPE">0</definedName>
    <definedName localSheetId="0" name="QBROWHEADERS">7</definedName>
    <definedName localSheetId="0" name="QBSTARTDATE">20210801</definedName>
    <definedName localSheetId="0" name="QB_ROW_78260">'P&amp;L'!$G$52</definedName>
    <definedName localSheetId="0" name="QB_ROW_106240">'P&amp;L'!$E$7</definedName>
    <definedName localSheetId="0" name="QB_ROW_122260">'P&amp;L'!$G$62</definedName>
    <definedName localSheetId="0" name="QB_ROW_127240">'P&amp;L'!$E$12</definedName>
    <definedName localSheetId="0" name="QB_ROW_138260">'P&amp;L'!$G$65</definedName>
    <definedName localSheetId="0" name="QB_ROW_80260">'P&amp;L'!$G$51</definedName>
    <definedName localSheetId="0" name="QB_ROW_139230">'P&amp;L'!$D$88</definedName>
    <definedName localSheetId="0" name="QB_ROW_116250">'P&amp;L'!$F$42</definedName>
    <definedName localSheetId="0" name="QB_ROW_114340">'P&amp;L'!$E$46</definedName>
    <definedName localSheetId="0" name="QB_ROW_24021">'P&amp;L'!$C$82</definedName>
    <definedName localSheetId="0" name="QB_ROW_77260">'P&amp;L'!$G$55</definedName>
    <definedName localSheetId="0" name="QB_ROW_3260">'P&amp;L'!$G$64</definedName>
    <definedName localSheetId="0" name="QB_ROW_20031">'P&amp;L'!$D$3</definedName>
    <definedName localSheetId="0" name="QB_ROW_123240">'P&amp;L'!$E$19</definedName>
    <definedName localSheetId="0" name="QB_ROW_29250">'P&amp;L'!$F$40</definedName>
    <definedName localSheetId="0" name="QB_ROW_113250">'P&amp;L'!$F$76</definedName>
    <definedName localSheetId="0" name="QB_ROW_136260">'P&amp;L'!$G$60</definedName>
    <definedName localSheetId="0" name="QB_ROW_112250">'P&amp;L'!$F$30</definedName>
    <definedName localSheetId="0" name="QB_ROW_35250">'P&amp;L'!$F$43</definedName>
    <definedName localSheetId="0" name="QB_ROW_24321">'P&amp;L'!$C$89</definedName>
    <definedName localSheetId="0" name="QB_ROW_79250">'P&amp;L'!$F$44</definedName>
    <definedName localSheetId="0" name="QB_ROW_145240">'P&amp;L'!$E$6</definedName>
    <definedName localSheetId="0" name="QB_ROW_117250">'P&amp;L'!$F$75</definedName>
    <definedName localSheetId="0" name="QB_ROW_124260">'P&amp;L'!$G$63</definedName>
    <definedName localSheetId="0" name="QB_ROW_22011">'P&amp;L'!$B$80</definedName>
    <definedName localSheetId="0" name="QB_ROW_71240">'P&amp;L'!$E$11</definedName>
    <definedName localSheetId="0" name="QB_ROW_125260">'P&amp;L'!$G$66</definedName>
    <definedName localSheetId="0" name="QB_ROW_126260">'P&amp;L'!$G$61</definedName>
    <definedName localSheetId="0" name="QB_ROW_36250">'P&amp;L'!$F$73</definedName>
    <definedName localSheetId="0" name="QB_ROW_27250">'P&amp;L'!$F$38</definedName>
    <definedName localSheetId="0" name="QB_ROW_32240">'P&amp;L'!$E$9</definedName>
    <definedName localSheetId="0" name="QB_ROW_19011">'P&amp;L'!$B$2</definedName>
    <definedName localSheetId="0" name="QB_ROW_14230">'P&amp;L'!$D$83</definedName>
    <definedName localSheetId="0" name="QB_ROW_114040">'P&amp;L'!$E$25</definedName>
    <definedName localSheetId="0" name="QB_ROW_90250">'P&amp;L'!$F$49</definedName>
    <definedName localSheetId="0" name="QB_ROW_118250">'P&amp;L'!$F$36</definedName>
    <definedName localSheetId="0" name="QB_ROW_30250">'P&amp;L'!$F$41</definedName>
    <definedName localSheetId="0" name="QB_ROW_39240">'P&amp;L'!$E$20</definedName>
    <definedName localSheetId="0" name="QB_ROW_77050">'P&amp;L'!$F$50</definedName>
    <definedName localSheetId="0" name="QB_ROW_21031">'P&amp;L'!$D$23</definedName>
    <definedName localSheetId="0" name="QB_ROW_135250">'P&amp;L'!$F$57</definedName>
    <definedName localSheetId="0" name="QB_ROW_105250">'P&amp;L'!$F$69</definedName>
    <definedName localSheetId="0" name="QB_ROW_114250">'P&amp;L'!$F$45</definedName>
    <definedName localSheetId="0" name="QB_ROW_113040">'P&amp;L'!$E$47</definedName>
    <definedName localSheetId="0" name="QB_ROW_86321">'P&amp;L'!$C$22</definedName>
    <definedName localSheetId="0" name="QB_ROW_103240">'P&amp;L'!$E$4</definedName>
    <definedName localSheetId="0" name="QB_ROW_18250">'P&amp;L'!$F$39</definedName>
    <definedName localSheetId="0" name="QB_ROW_84230">'P&amp;L'!$D$86</definedName>
    <definedName localSheetId="0" name="QB_ROW_128250">'P&amp;L'!$F$26</definedName>
    <definedName localSheetId="0" name="QB_ROW_81250">'P&amp;L'!$F$71</definedName>
    <definedName localSheetId="0" name="QB_ROW_20331">'P&amp;L'!$D$14</definedName>
    <definedName localSheetId="0" name="QB_ROW_31250">'P&amp;L'!$F$70</definedName>
    <definedName localSheetId="0" name="QB_ROW_19250">'P&amp;L'!$F$31</definedName>
    <definedName localSheetId="0" name="QB_ROW_72240">'P&amp;L'!$E$13</definedName>
    <definedName localSheetId="0" name="QB_ROW_9250">'P&amp;L'!$F$72</definedName>
    <definedName localSheetId="0" name="QB_ROW_23250">'P&amp;L'!$F$35</definedName>
    <definedName localSheetId="0" name="QB_ROW_91240">'P&amp;L'!$E$8</definedName>
    <definedName localSheetId="0" name="QB_ROW_82230">'P&amp;L'!$D$84</definedName>
    <definedName localSheetId="0" name="QB_ROW_22311">'P&amp;L'!$B$90</definedName>
    <definedName localSheetId="0" name="QB_ROW_26250">'P&amp;L'!$F$37</definedName>
    <definedName localSheetId="0" name="QB_ROW_74240">'P&amp;L'!$E$18</definedName>
    <definedName localSheetId="0" name="QB_ROW_69240">'P&amp;L'!$E$10</definedName>
    <definedName localSheetId="0" name="QB_ROW_121250">'P&amp;L'!$F$33</definedName>
    <definedName localSheetId="0" name="QB_ROW_77350">'P&amp;L'!$F$56</definedName>
    <definedName localSheetId="0" name="QB_ROW_16250">'P&amp;L'!$F$48</definedName>
    <definedName localSheetId="0" name="QB_ROW_76250">'P&amp;L'!$F$32</definedName>
    <definedName localSheetId="0" name="QB_ROW_19311">'P&amp;L'!$B$79</definedName>
    <definedName localSheetId="0" name="QB_ROW_18301">'P&amp;L'!$A$91</definedName>
    <definedName localSheetId="0" name="QB_ROW_99260">'P&amp;L'!$G$54</definedName>
    <definedName localSheetId="0" name="QB_ROW_23221">'P&amp;L'!$C$81</definedName>
    <definedName localSheetId="0" name="QB_ROW_87031">'P&amp;L'!$D$15</definedName>
    <definedName localSheetId="0" name="QB_COLUMN_29">'P&amp;L'!$Q$1</definedName>
    <definedName localSheetId="0" name="QB_ROW_131250">'P&amp;L'!$F$68</definedName>
    <definedName localSheetId="0" name="QB_ROW_115250">'P&amp;L'!$F$74</definedName>
    <definedName localSheetId="0" name="QB_ROW_87331">'P&amp;L'!$D$21</definedName>
    <definedName localSheetId="0" name="QB_ROW_125350">'P&amp;L'!$F$67</definedName>
    <definedName localSheetId="0" name="QB_ROW_13250">'P&amp;L'!$F$27</definedName>
    <definedName localSheetId="0" name="QB_ROW_22250">'P&amp;L'!$F$34</definedName>
    <definedName localSheetId="0" name="QB_ROW_111230">'P&amp;L'!$D$85</definedName>
    <definedName localSheetId="0" name="QB_ROW_34250">'P&amp;L'!$F$28</definedName>
    <definedName localSheetId="0" name="QB_ROW_21331">'P&amp;L'!$D$78</definedName>
    <definedName localSheetId="0" name="QB_ROW_15240">'P&amp;L'!$E$24</definedName>
    <definedName localSheetId="0" name="QB_ROW_125050">'P&amp;L'!$F$59</definedName>
    <definedName localSheetId="0" name="QB_ROW_83250">'P&amp;L'!$F$58</definedName>
    <definedName localSheetId="0" name="QB_ROW_75250">'P&amp;L'!$F$29</definedName>
    <definedName localSheetId="0" name="QB_ROW_73240">'P&amp;L'!$E$17</definedName>
    <definedName localSheetId="0" name="QB_ROW_134260">'P&amp;L'!$G$53</definedName>
    <definedName localSheetId="0" name="QB_ROW_113340">'P&amp;L'!$E$77</definedName>
    <definedName localSheetId="0" name="QB_ROW_70240">'P&amp;L'!$E$5</definedName>
    <definedName localSheetId="0" name="QB_ROW_132230">'P&amp;L'!$D$87</definedName>
    <definedName localSheetId="0" name="QB_ROW_86240">'P&amp;L'!$E$16</definedName>
  </definedNames>
  <calcPr/>
  <extLst>
    <ext uri="GoogleSheetsCustomDataVersion2">
      <go:sheetsCustomData xmlns:go="http://customooxmlschemas.google.com/" r:id="rId5" roundtripDataChecksum="uTi0HOa6SN3QmeNrgcmARP5BATibSf0DmqFgJK/zZf8="/>
    </ext>
  </extLst>
</workbook>
</file>

<file path=xl/sharedStrings.xml><?xml version="1.0" encoding="utf-8"?>
<sst xmlns="http://schemas.openxmlformats.org/spreadsheetml/2006/main" count="147" uniqueCount="145">
  <si>
    <t>May 22</t>
  </si>
  <si>
    <t>Apr 22</t>
  </si>
  <si>
    <t>Mar 22</t>
  </si>
  <si>
    <t>Feb 22</t>
  </si>
  <si>
    <t>Jan 22</t>
  </si>
  <si>
    <t>Dec 21</t>
  </si>
  <si>
    <t>Nov 21</t>
  </si>
  <si>
    <t>Oct 21</t>
  </si>
  <si>
    <t>Sep 21</t>
  </si>
  <si>
    <t>Aug 21</t>
  </si>
  <si>
    <t>Jul 21</t>
  </si>
  <si>
    <t>Jun 21</t>
  </si>
  <si>
    <t>May 21</t>
  </si>
  <si>
    <t>Apr 21</t>
  </si>
  <si>
    <t>Mar 21</t>
  </si>
  <si>
    <t>Feb 21</t>
  </si>
  <si>
    <t>Jan 21</t>
  </si>
  <si>
    <t>Dec 20</t>
  </si>
  <si>
    <t>Nov 20</t>
  </si>
  <si>
    <t>Oct 20</t>
  </si>
  <si>
    <t>Sep 20</t>
  </si>
  <si>
    <t>Aug 20</t>
  </si>
  <si>
    <t>Jul 20</t>
  </si>
  <si>
    <t>Jun 20</t>
  </si>
  <si>
    <t>May 20</t>
  </si>
  <si>
    <t>Apr 20</t>
  </si>
  <si>
    <t>Mar 20</t>
  </si>
  <si>
    <t>Feb 20</t>
  </si>
  <si>
    <t>Jan 20</t>
  </si>
  <si>
    <t>Dec 19</t>
  </si>
  <si>
    <t>Nov 19</t>
  </si>
  <si>
    <t>Oct 19</t>
  </si>
  <si>
    <t>Sep 19</t>
  </si>
  <si>
    <t>Aug 19</t>
  </si>
  <si>
    <t>Jul 19</t>
  </si>
  <si>
    <t>Jun 19</t>
  </si>
  <si>
    <t>May 19</t>
  </si>
  <si>
    <t>Apr 19</t>
  </si>
  <si>
    <t>Mar 19</t>
  </si>
  <si>
    <t>Feb 19</t>
  </si>
  <si>
    <t>Jan 19</t>
  </si>
  <si>
    <t>Dec 18</t>
  </si>
  <si>
    <t>Nov 18</t>
  </si>
  <si>
    <t>Oct 18</t>
  </si>
  <si>
    <t>Sep 18</t>
  </si>
  <si>
    <t>Aug 18</t>
  </si>
  <si>
    <t>Jul 18</t>
  </si>
  <si>
    <t>Jun 18</t>
  </si>
  <si>
    <t>May 18</t>
  </si>
  <si>
    <t>Apr 18</t>
  </si>
  <si>
    <t>Mar 18</t>
  </si>
  <si>
    <t>Feb 18</t>
  </si>
  <si>
    <t>Jan 18</t>
  </si>
  <si>
    <t>Dec 17</t>
  </si>
  <si>
    <t>Nov 17</t>
  </si>
  <si>
    <t>Oct 17</t>
  </si>
  <si>
    <t>Sep 17</t>
  </si>
  <si>
    <t>Ordinary Income/Expense</t>
  </si>
  <si>
    <t>Income</t>
  </si>
  <si>
    <t>Additional Discount</t>
  </si>
  <si>
    <t>Commission Received</t>
  </si>
  <si>
    <t>Government Subsidies</t>
  </si>
  <si>
    <t>Interest Income</t>
  </si>
  <si>
    <t>Other Income</t>
  </si>
  <si>
    <t>Sales</t>
  </si>
  <si>
    <t>Sales Discounts</t>
  </si>
  <si>
    <t>Sales of Product Income</t>
  </si>
  <si>
    <t>Tips</t>
  </si>
  <si>
    <t>Uncategorized Income</t>
  </si>
  <si>
    <t>Total Income</t>
  </si>
  <si>
    <t>Cost of Goods Sold</t>
  </si>
  <si>
    <t>*Cost of Goods Sold</t>
  </si>
  <si>
    <t>Damaged/Lost Goods - COGS</t>
  </si>
  <si>
    <t>Shipping - COGS</t>
  </si>
  <si>
    <t>Worker's Comp Premiums - Labour</t>
  </si>
  <si>
    <t>Total COGS</t>
  </si>
  <si>
    <t>Gross Profit</t>
  </si>
  <si>
    <t>Expense</t>
  </si>
  <si>
    <t>Automobile Expense</t>
  </si>
  <si>
    <t>Fixed Costs</t>
  </si>
  <si>
    <t>Accounting</t>
  </si>
  <si>
    <t>Advertising and Promotion</t>
  </si>
  <si>
    <t>Cell Phone Expense</t>
  </si>
  <si>
    <t>Charitable Contributions</t>
  </si>
  <si>
    <t>Cleaners</t>
  </si>
  <si>
    <t>Depreciation Expense</t>
  </si>
  <si>
    <t>Dues and Subscriptions</t>
  </si>
  <si>
    <t>Gifts</t>
  </si>
  <si>
    <t>Insurance Expense</t>
  </si>
  <si>
    <t>Interest Expense</t>
  </si>
  <si>
    <t>Legal Expenses</t>
  </si>
  <si>
    <t>Meals and Entertainment</t>
  </si>
  <si>
    <t>Office Supplies</t>
  </si>
  <si>
    <t>Phone and Internet</t>
  </si>
  <si>
    <t>Professional Fees</t>
  </si>
  <si>
    <t>Rent Expense</t>
  </si>
  <si>
    <t>Rent Expense - Home Office</t>
  </si>
  <si>
    <t>Travel Expense</t>
  </si>
  <si>
    <t>Uniforms</t>
  </si>
  <si>
    <t>Fixed Costs - Other</t>
  </si>
  <si>
    <t>Total Fixed Costs</t>
  </si>
  <si>
    <t>Variable Costs</t>
  </si>
  <si>
    <t>Bank Service Charges</t>
  </si>
  <si>
    <t>Contactor and Worker Expenses</t>
  </si>
  <si>
    <t>Facility Supplies</t>
  </si>
  <si>
    <t>Cleaning supplies</t>
  </si>
  <si>
    <t>Daycare supplies</t>
  </si>
  <si>
    <t>General supplies</t>
  </si>
  <si>
    <t>Grooming supplies</t>
  </si>
  <si>
    <t>Facility Supplies - Other</t>
  </si>
  <si>
    <t>Total Facility Supplies</t>
  </si>
  <si>
    <t>Hiring and Training</t>
  </si>
  <si>
    <t>Miscellaneous Expenses</t>
  </si>
  <si>
    <t>Payroll Expenses</t>
  </si>
  <si>
    <t>Payroll fees</t>
  </si>
  <si>
    <t>Payroll owner (employer taxes)</t>
  </si>
  <si>
    <t>Payroll owner (wages)</t>
  </si>
  <si>
    <t>Payroll staff (employer taxes)</t>
  </si>
  <si>
    <t>Payroll staff (wages)</t>
  </si>
  <si>
    <t>Payroll tips</t>
  </si>
  <si>
    <t>Payroll Expenses - Other</t>
  </si>
  <si>
    <t>Total Payroll Expenses</t>
  </si>
  <si>
    <t>Penalty and Interest</t>
  </si>
  <si>
    <t>Reconciliation Discrepancies</t>
  </si>
  <si>
    <t>Repairs and Maintenance</t>
  </si>
  <si>
    <t>Shipping, Freight, and Delivery</t>
  </si>
  <si>
    <t>Uncategorized Expenses</t>
  </si>
  <si>
    <t>Utilities</t>
  </si>
  <si>
    <t>Vehicle Expense</t>
  </si>
  <si>
    <t>Workers Compensation</t>
  </si>
  <si>
    <t>Variable Costs - Other</t>
  </si>
  <si>
    <t>Total Variable Costs</t>
  </si>
  <si>
    <t>Total Expense</t>
  </si>
  <si>
    <t>Net Ordinary Income</t>
  </si>
  <si>
    <t>Other Income/Expense</t>
  </si>
  <si>
    <t>Other Expense</t>
  </si>
  <si>
    <t>Ask My Accountant</t>
  </si>
  <si>
    <t>Corporate Tax Expense</t>
  </si>
  <si>
    <t>Exchange Gain or Loss</t>
  </si>
  <si>
    <t>Losses</t>
  </si>
  <si>
    <t>Removing Credits/Balances</t>
  </si>
  <si>
    <t>Unrealized foreign ex gain/loss</t>
  </si>
  <si>
    <t>Total Other Expense</t>
  </si>
  <si>
    <t>Net Other Income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</si>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</sst>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8.0"/>
      <color rgb="FF323232"/>
      <name val="Arial"/>
    </font>
    <font>
      <sz val="8.0"/>
      <color rgb="FF323232"/>
      <name val="Arial"/>
    </font>
    <font>
      <sz val="8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bottom style="thick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1" fillId="0" fontId="1" numFmtId="49" xfId="0" applyAlignment="1" applyBorder="1" applyFont="1" applyNumberFormat="1">
      <alignment horizontal="center"/>
    </xf>
    <xf borderId="0" fillId="0" fontId="1" numFmtId="49" xfId="0" applyFont="1" applyNumberFormat="1"/>
    <xf borderId="0" fillId="0" fontId="2" numFmtId="39" xfId="0" applyFont="1" applyNumberFormat="1"/>
    <xf borderId="2" fillId="0" fontId="2" numFmtId="39" xfId="0" applyBorder="1" applyFont="1" applyNumberFormat="1"/>
    <xf borderId="3" fillId="0" fontId="2" numFmtId="39" xfId="0" applyBorder="1" applyFont="1" applyNumberFormat="1"/>
    <xf borderId="0" fillId="0" fontId="3" numFmtId="39" xfId="0" applyFont="1" applyNumberFormat="1"/>
    <xf borderId="4" fillId="0" fontId="2" numFmtId="39" xfId="0" applyBorder="1" applyFont="1" applyNumberFormat="1"/>
    <xf borderId="5" fillId="0" fontId="1" numFmtId="39" xfId="0" applyBorder="1" applyFont="1" applyNumberFormat="1"/>
    <xf borderId="0" fillId="0" fontId="1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4400" cy="228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14400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6" width="3.0"/>
    <col customWidth="1" min="7" max="7" width="26.29"/>
    <col customWidth="1" min="8" max="12" width="7.86"/>
    <col customWidth="1" min="13" max="13" width="8.43"/>
    <col customWidth="1" min="14" max="16" width="7.86"/>
    <col customWidth="1" min="17" max="64" width="8.71"/>
  </cols>
  <sheetData>
    <row r="1">
      <c r="A1" s="1"/>
      <c r="B1" s="1"/>
      <c r="C1" s="1"/>
      <c r="D1" s="1"/>
      <c r="E1" s="1"/>
      <c r="F1" s="1"/>
      <c r="G1" s="1"/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</row>
    <row r="2">
      <c r="A2" s="3"/>
      <c r="B2" s="3" t="s">
        <v>57</v>
      </c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</row>
    <row r="3">
      <c r="A3" s="3"/>
      <c r="B3" s="3"/>
      <c r="C3" s="3"/>
      <c r="D3" s="3" t="s">
        <v>58</v>
      </c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>
      <c r="A4" s="3"/>
      <c r="B4" s="3"/>
      <c r="C4" s="3"/>
      <c r="D4" s="3"/>
      <c r="E4" s="3" t="s">
        <v>59</v>
      </c>
      <c r="F4" s="3"/>
      <c r="G4" s="3"/>
      <c r="H4" s="4">
        <v>0.0</v>
      </c>
      <c r="I4" s="4">
        <v>0.0</v>
      </c>
      <c r="J4" s="4">
        <v>0.0</v>
      </c>
      <c r="K4" s="4">
        <v>0.0</v>
      </c>
      <c r="L4" s="4">
        <v>-20.0</v>
      </c>
      <c r="M4" s="4">
        <v>0.0</v>
      </c>
      <c r="N4" s="4">
        <v>-20.0</v>
      </c>
      <c r="O4" s="4">
        <v>-4.99</v>
      </c>
      <c r="P4" s="4">
        <v>0.0</v>
      </c>
      <c r="Q4" s="4">
        <v>-20.0</v>
      </c>
      <c r="R4" s="4">
        <v>-20.0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-10.0</v>
      </c>
      <c r="AC4" s="4">
        <v>0.0</v>
      </c>
      <c r="AD4" s="4">
        <v>-8.0</v>
      </c>
      <c r="AE4" s="4">
        <v>0.0</v>
      </c>
      <c r="AF4" s="4">
        <v>0.0</v>
      </c>
      <c r="AG4" s="4">
        <v>0.0</v>
      </c>
      <c r="AH4" s="4">
        <v>-20.0</v>
      </c>
      <c r="AI4" s="4">
        <v>0.0</v>
      </c>
      <c r="AJ4" s="4">
        <v>-3.99</v>
      </c>
      <c r="AK4" s="4">
        <v>0.0</v>
      </c>
      <c r="AL4" s="4">
        <v>-80.0</v>
      </c>
      <c r="AM4" s="4">
        <v>0.0</v>
      </c>
      <c r="AN4" s="4">
        <v>-175.55</v>
      </c>
      <c r="AO4" s="4">
        <v>-80.0</v>
      </c>
      <c r="AP4" s="4">
        <v>-20.0</v>
      </c>
      <c r="AQ4" s="4">
        <v>-20.0</v>
      </c>
      <c r="AR4" s="4">
        <v>-40.0</v>
      </c>
      <c r="AS4" s="4">
        <v>-120.0</v>
      </c>
      <c r="AT4" s="4">
        <v>-60.0</v>
      </c>
      <c r="AU4" s="4">
        <v>-20.0</v>
      </c>
      <c r="AV4" s="4">
        <v>-60.0</v>
      </c>
      <c r="AW4" s="4">
        <v>-20.0</v>
      </c>
      <c r="AX4" s="4">
        <v>0.0</v>
      </c>
      <c r="AY4" s="4">
        <v>0.0</v>
      </c>
      <c r="AZ4" s="4">
        <v>-75.0</v>
      </c>
      <c r="BA4" s="4">
        <v>-50.0</v>
      </c>
      <c r="BB4" s="4">
        <v>0.0</v>
      </c>
      <c r="BC4" s="4">
        <v>0.0</v>
      </c>
      <c r="BD4" s="4">
        <v>0.0</v>
      </c>
      <c r="BE4" s="4">
        <v>0.0</v>
      </c>
      <c r="BF4" s="4">
        <v>0.0</v>
      </c>
      <c r="BG4" s="4">
        <v>0.0</v>
      </c>
      <c r="BH4" s="4">
        <v>0.0</v>
      </c>
      <c r="BI4" s="4">
        <v>0.0</v>
      </c>
      <c r="BJ4" s="4">
        <v>0.0</v>
      </c>
      <c r="BK4" s="4">
        <v>0.0</v>
      </c>
      <c r="BL4" s="4">
        <v>0.0</v>
      </c>
    </row>
    <row r="5">
      <c r="A5" s="3"/>
      <c r="B5" s="3"/>
      <c r="C5" s="3"/>
      <c r="D5" s="3"/>
      <c r="E5" s="3" t="s">
        <v>60</v>
      </c>
      <c r="F5" s="3"/>
      <c r="G5" s="3"/>
      <c r="H5" s="4">
        <v>0.0</v>
      </c>
      <c r="I5" s="4">
        <v>0.0</v>
      </c>
      <c r="J5" s="4">
        <v>30.64</v>
      </c>
      <c r="K5" s="4">
        <v>0.0</v>
      </c>
      <c r="L5" s="4">
        <v>0.0</v>
      </c>
      <c r="M5" s="4">
        <v>37.75</v>
      </c>
      <c r="N5" s="4">
        <v>0.0</v>
      </c>
      <c r="O5" s="4">
        <v>0.0</v>
      </c>
      <c r="P5" s="4">
        <v>30.85</v>
      </c>
      <c r="Q5" s="4">
        <v>0.0</v>
      </c>
      <c r="R5" s="4">
        <v>0.0</v>
      </c>
      <c r="S5" s="4">
        <v>33.19</v>
      </c>
      <c r="T5" s="4">
        <v>0.0</v>
      </c>
      <c r="U5" s="4">
        <v>0.0</v>
      </c>
      <c r="V5" s="4">
        <v>33.09</v>
      </c>
      <c r="W5" s="4">
        <v>0.0</v>
      </c>
      <c r="X5" s="4">
        <v>0.0</v>
      </c>
      <c r="Y5" s="4">
        <v>39.98</v>
      </c>
      <c r="Z5" s="4">
        <v>0.0</v>
      </c>
      <c r="AA5" s="4">
        <v>0.0</v>
      </c>
      <c r="AB5" s="4">
        <v>28.41</v>
      </c>
      <c r="AC5" s="4">
        <v>0.0</v>
      </c>
      <c r="AD5" s="4">
        <v>0.0</v>
      </c>
      <c r="AE5" s="4">
        <v>22.05</v>
      </c>
      <c r="AF5" s="4">
        <v>0.0</v>
      </c>
      <c r="AG5" s="4">
        <v>0.0</v>
      </c>
      <c r="AH5" s="4">
        <v>36.17</v>
      </c>
      <c r="AI5" s="4">
        <v>0.0</v>
      </c>
      <c r="AJ5" s="4">
        <v>0.0</v>
      </c>
      <c r="AK5" s="4">
        <v>49.53</v>
      </c>
      <c r="AL5" s="4">
        <v>0.0</v>
      </c>
      <c r="AM5" s="4">
        <v>0.0</v>
      </c>
      <c r="AN5" s="4">
        <v>35.25</v>
      </c>
      <c r="AO5" s="4">
        <v>0.0</v>
      </c>
      <c r="AP5" s="4">
        <v>0.0</v>
      </c>
      <c r="AQ5" s="4">
        <v>35.98</v>
      </c>
      <c r="AR5" s="4">
        <v>0.0</v>
      </c>
      <c r="AS5" s="4">
        <v>0.0</v>
      </c>
      <c r="AT5" s="4">
        <v>42.33</v>
      </c>
      <c r="AU5" s="4">
        <v>0.0</v>
      </c>
      <c r="AV5" s="4">
        <v>0.0</v>
      </c>
      <c r="AW5" s="4">
        <v>43.13</v>
      </c>
      <c r="AX5" s="4">
        <v>0.0</v>
      </c>
      <c r="AY5" s="4">
        <v>0.0</v>
      </c>
      <c r="AZ5" s="4">
        <v>22.0</v>
      </c>
      <c r="BA5" s="4">
        <v>0.0</v>
      </c>
      <c r="BB5" s="4">
        <v>0.0</v>
      </c>
      <c r="BC5" s="4">
        <v>44.01</v>
      </c>
      <c r="BD5" s="4">
        <v>0.0</v>
      </c>
      <c r="BE5" s="4">
        <v>0.0</v>
      </c>
      <c r="BF5" s="4">
        <v>44.45</v>
      </c>
      <c r="BG5" s="4">
        <v>0.0</v>
      </c>
      <c r="BH5" s="4">
        <v>0.0</v>
      </c>
      <c r="BI5" s="4">
        <v>45.37</v>
      </c>
      <c r="BJ5" s="4">
        <v>0.0</v>
      </c>
      <c r="BK5" s="4">
        <v>0.0</v>
      </c>
      <c r="BL5" s="4">
        <v>40.27</v>
      </c>
    </row>
    <row r="6">
      <c r="A6" s="3"/>
      <c r="B6" s="3"/>
      <c r="C6" s="3"/>
      <c r="D6" s="3"/>
      <c r="E6" s="3" t="s">
        <v>61</v>
      </c>
      <c r="F6" s="3"/>
      <c r="G6" s="3"/>
      <c r="H6" s="4">
        <v>-230.62</v>
      </c>
      <c r="I6" s="4">
        <v>0.0</v>
      </c>
      <c r="J6" s="4">
        <v>0.0</v>
      </c>
      <c r="K6" s="4">
        <v>5559.15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63811.08</v>
      </c>
      <c r="R6" s="4">
        <v>4965.6</v>
      </c>
      <c r="S6" s="4">
        <v>0.0</v>
      </c>
      <c r="T6" s="4">
        <v>0.0</v>
      </c>
      <c r="U6" s="4">
        <v>0.0</v>
      </c>
      <c r="V6" s="4">
        <v>157606.81</v>
      </c>
      <c r="W6" s="4">
        <v>7212.98</v>
      </c>
      <c r="X6" s="4">
        <v>0.0</v>
      </c>
      <c r="Y6" s="4">
        <v>0.0</v>
      </c>
      <c r="Z6" s="4">
        <v>0.0</v>
      </c>
      <c r="AA6" s="4">
        <v>0.0</v>
      </c>
      <c r="AB6" s="4">
        <v>26827.64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  <c r="AQ6" s="4">
        <v>0.0</v>
      </c>
      <c r="AR6" s="4">
        <v>0.0</v>
      </c>
      <c r="AS6" s="4">
        <v>0.0</v>
      </c>
      <c r="AT6" s="4">
        <v>0.0</v>
      </c>
      <c r="AU6" s="4">
        <v>0.0</v>
      </c>
      <c r="AV6" s="4">
        <v>0.0</v>
      </c>
      <c r="AW6" s="4">
        <v>0.0</v>
      </c>
      <c r="AX6" s="4">
        <v>0.0</v>
      </c>
      <c r="AY6" s="4">
        <v>0.0</v>
      </c>
      <c r="AZ6" s="4">
        <v>0.0</v>
      </c>
      <c r="BA6" s="4">
        <v>0.0</v>
      </c>
      <c r="BB6" s="4">
        <v>0.0</v>
      </c>
      <c r="BC6" s="4">
        <v>0.0</v>
      </c>
      <c r="BD6" s="4">
        <v>0.0</v>
      </c>
      <c r="BE6" s="4">
        <v>0.0</v>
      </c>
      <c r="BF6" s="4">
        <v>0.0</v>
      </c>
      <c r="BG6" s="4">
        <v>0.0</v>
      </c>
      <c r="BH6" s="4">
        <v>0.0</v>
      </c>
      <c r="BI6" s="4">
        <v>0.0</v>
      </c>
      <c r="BJ6" s="4">
        <v>0.0</v>
      </c>
      <c r="BK6" s="4">
        <v>0.0</v>
      </c>
      <c r="BL6" s="4">
        <v>0.0</v>
      </c>
    </row>
    <row r="7">
      <c r="A7" s="3"/>
      <c r="B7" s="3"/>
      <c r="C7" s="3"/>
      <c r="D7" s="3"/>
      <c r="E7" s="3" t="s">
        <v>62</v>
      </c>
      <c r="F7" s="3"/>
      <c r="G7" s="3"/>
      <c r="H7" s="4">
        <v>6.1</v>
      </c>
      <c r="I7" s="4">
        <v>4.0</v>
      </c>
      <c r="J7" s="4">
        <v>3.05</v>
      </c>
      <c r="K7" s="4">
        <v>3.61</v>
      </c>
      <c r="L7" s="4">
        <v>3.6</v>
      </c>
      <c r="M7" s="4">
        <v>3.22</v>
      </c>
      <c r="N7" s="4">
        <v>3.23</v>
      </c>
      <c r="O7" s="4">
        <v>2.61</v>
      </c>
      <c r="P7" s="4">
        <v>2.09</v>
      </c>
      <c r="Q7" s="4">
        <v>2.41</v>
      </c>
      <c r="R7" s="4">
        <v>2.54</v>
      </c>
      <c r="S7" s="4">
        <v>2.63</v>
      </c>
      <c r="T7" s="4">
        <v>2.95</v>
      </c>
      <c r="U7" s="4">
        <v>3.35</v>
      </c>
      <c r="V7" s="4">
        <v>2.65</v>
      </c>
      <c r="W7" s="4">
        <v>4.51</v>
      </c>
      <c r="X7" s="4">
        <v>5.6</v>
      </c>
      <c r="Y7" s="4">
        <v>5.1</v>
      </c>
      <c r="Z7" s="4">
        <v>5.64</v>
      </c>
      <c r="AA7" s="4">
        <v>6.0</v>
      </c>
      <c r="AB7" s="4">
        <v>15.73</v>
      </c>
      <c r="AC7" s="4">
        <v>6.3</v>
      </c>
      <c r="AD7" s="4">
        <v>5.97</v>
      </c>
      <c r="AE7" s="4">
        <v>2.88</v>
      </c>
      <c r="AF7" s="4">
        <v>1.61</v>
      </c>
      <c r="AG7" s="4">
        <v>8.39</v>
      </c>
      <c r="AH7" s="4">
        <v>15.97</v>
      </c>
      <c r="AI7" s="4">
        <v>16.26</v>
      </c>
      <c r="AJ7" s="4">
        <v>16.25</v>
      </c>
      <c r="AK7" s="4">
        <v>15.73</v>
      </c>
      <c r="AL7" s="4">
        <v>18.67</v>
      </c>
      <c r="AM7" s="4">
        <v>19.29</v>
      </c>
      <c r="AN7" s="4">
        <v>18.34</v>
      </c>
      <c r="AO7" s="4">
        <v>18.33</v>
      </c>
      <c r="AP7" s="4">
        <v>17.74</v>
      </c>
      <c r="AQ7" s="4">
        <v>16.83</v>
      </c>
      <c r="AR7" s="4">
        <v>20.32</v>
      </c>
      <c r="AS7" s="4">
        <v>20.81</v>
      </c>
      <c r="AT7" s="4">
        <v>17.53</v>
      </c>
      <c r="AU7" s="4">
        <v>20.05</v>
      </c>
      <c r="AV7" s="4">
        <v>17.0</v>
      </c>
      <c r="AW7" s="4">
        <v>16.31</v>
      </c>
      <c r="AX7" s="4">
        <v>14.65</v>
      </c>
      <c r="AY7" s="4">
        <v>13.62</v>
      </c>
      <c r="AZ7" s="4">
        <v>11.82</v>
      </c>
      <c r="BA7" s="4">
        <v>12.15</v>
      </c>
      <c r="BB7" s="4">
        <v>23.71</v>
      </c>
      <c r="BC7" s="4">
        <v>30.79</v>
      </c>
      <c r="BD7" s="4">
        <v>30.67</v>
      </c>
      <c r="BE7" s="4">
        <v>30.17</v>
      </c>
      <c r="BF7" s="4">
        <v>22.43</v>
      </c>
      <c r="BG7" s="4">
        <v>15.19</v>
      </c>
      <c r="BH7" s="4">
        <v>10.78</v>
      </c>
      <c r="BI7" s="4">
        <v>9.26</v>
      </c>
      <c r="BJ7" s="4">
        <v>9.31</v>
      </c>
      <c r="BK7" s="4">
        <v>8.22</v>
      </c>
      <c r="BL7" s="4">
        <v>8.7</v>
      </c>
    </row>
    <row r="8">
      <c r="A8" s="3"/>
      <c r="B8" s="3"/>
      <c r="C8" s="3"/>
      <c r="D8" s="3"/>
      <c r="E8" s="3" t="s">
        <v>63</v>
      </c>
      <c r="F8" s="3"/>
      <c r="G8" s="3"/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0.0</v>
      </c>
      <c r="AP8" s="4">
        <v>0.0</v>
      </c>
      <c r="AQ8" s="4">
        <v>0.0</v>
      </c>
      <c r="AR8" s="4">
        <v>0.0</v>
      </c>
      <c r="AS8" s="4">
        <v>0.0</v>
      </c>
      <c r="AT8" s="4">
        <v>0.0</v>
      </c>
      <c r="AU8" s="4">
        <v>0.0</v>
      </c>
      <c r="AV8" s="4">
        <v>0.0</v>
      </c>
      <c r="AW8" s="4">
        <v>270.0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0.0</v>
      </c>
      <c r="BD8" s="4">
        <v>0.0</v>
      </c>
      <c r="BE8" s="4">
        <v>0.0</v>
      </c>
      <c r="BF8" s="4">
        <v>0.0</v>
      </c>
      <c r="BG8" s="4">
        <v>0.0</v>
      </c>
      <c r="BH8" s="4">
        <v>0.0</v>
      </c>
      <c r="BI8" s="4">
        <v>0.0</v>
      </c>
      <c r="BJ8" s="4">
        <v>0.0</v>
      </c>
      <c r="BK8" s="4">
        <v>0.0</v>
      </c>
      <c r="BL8" s="4">
        <v>0.0</v>
      </c>
    </row>
    <row r="9">
      <c r="A9" s="3"/>
      <c r="B9" s="3"/>
      <c r="C9" s="3"/>
      <c r="D9" s="3"/>
      <c r="E9" s="3" t="s">
        <v>64</v>
      </c>
      <c r="F9" s="3"/>
      <c r="G9" s="3"/>
      <c r="H9" s="4">
        <v>73030.85</v>
      </c>
      <c r="I9" s="4">
        <v>67049.61</v>
      </c>
      <c r="J9" s="4">
        <v>71493.91</v>
      </c>
      <c r="K9" s="4">
        <v>59681.0</v>
      </c>
      <c r="L9" s="4">
        <v>56928.24</v>
      </c>
      <c r="M9" s="4">
        <v>58803.0</v>
      </c>
      <c r="N9" s="4">
        <v>67468.95</v>
      </c>
      <c r="O9" s="4">
        <v>58640.71</v>
      </c>
      <c r="P9" s="4">
        <v>63569.4</v>
      </c>
      <c r="Q9" s="4">
        <v>56425.0</v>
      </c>
      <c r="R9" s="4">
        <v>53444.52</v>
      </c>
      <c r="S9" s="4">
        <v>54516.44</v>
      </c>
      <c r="T9" s="4">
        <v>50733.05</v>
      </c>
      <c r="U9" s="4">
        <v>52413.86</v>
      </c>
      <c r="V9" s="4">
        <v>47555.7</v>
      </c>
      <c r="W9" s="4">
        <v>46235.0</v>
      </c>
      <c r="X9" s="4">
        <v>45214.0</v>
      </c>
      <c r="Y9" s="4">
        <v>36121.0</v>
      </c>
      <c r="Z9" s="4">
        <v>38827.48</v>
      </c>
      <c r="AA9" s="4">
        <v>44686.95</v>
      </c>
      <c r="AB9" s="4">
        <v>50386.0</v>
      </c>
      <c r="AC9" s="4">
        <v>42970.24</v>
      </c>
      <c r="AD9" s="4">
        <v>32012.5</v>
      </c>
      <c r="AE9" s="4">
        <v>33935.43</v>
      </c>
      <c r="AF9" s="4">
        <v>16057.74</v>
      </c>
      <c r="AG9" s="4">
        <v>3019.0</v>
      </c>
      <c r="AH9" s="4">
        <v>33237.4</v>
      </c>
      <c r="AI9" s="4">
        <v>72704.8</v>
      </c>
      <c r="AJ9" s="4">
        <v>62860.95</v>
      </c>
      <c r="AK9" s="4">
        <v>60806.06</v>
      </c>
      <c r="AL9" s="4">
        <v>65848.33</v>
      </c>
      <c r="AM9" s="4">
        <v>70209.66</v>
      </c>
      <c r="AN9" s="4">
        <v>68994.43</v>
      </c>
      <c r="AO9" s="4">
        <v>70784.1</v>
      </c>
      <c r="AP9" s="4">
        <v>74587.68</v>
      </c>
      <c r="AQ9" s="4">
        <v>61793.29</v>
      </c>
      <c r="AR9" s="4">
        <v>69435.86</v>
      </c>
      <c r="AS9" s="4">
        <v>67559.93</v>
      </c>
      <c r="AT9" s="4">
        <v>71380.69</v>
      </c>
      <c r="AU9" s="4">
        <v>51335.17</v>
      </c>
      <c r="AV9" s="4">
        <v>74779.92</v>
      </c>
      <c r="AW9" s="4">
        <v>53817.86</v>
      </c>
      <c r="AX9" s="4">
        <v>70498.36</v>
      </c>
      <c r="AY9" s="4">
        <v>73925.1</v>
      </c>
      <c r="AZ9" s="4">
        <v>65502.39</v>
      </c>
      <c r="BA9" s="4">
        <v>69599.68</v>
      </c>
      <c r="BB9" s="4">
        <v>63634.54</v>
      </c>
      <c r="BC9" s="4">
        <v>64622.4</v>
      </c>
      <c r="BD9" s="4">
        <v>71339.19</v>
      </c>
      <c r="BE9" s="4">
        <v>59630.42</v>
      </c>
      <c r="BF9" s="4">
        <v>56936.57</v>
      </c>
      <c r="BG9" s="4">
        <v>43113.41</v>
      </c>
      <c r="BH9" s="4">
        <v>61615.89</v>
      </c>
      <c r="BI9" s="4">
        <v>49993.37</v>
      </c>
      <c r="BJ9" s="4">
        <v>45480.09</v>
      </c>
      <c r="BK9" s="4">
        <v>53109.05</v>
      </c>
      <c r="BL9" s="4">
        <v>54296.48</v>
      </c>
    </row>
    <row r="10">
      <c r="A10" s="3"/>
      <c r="B10" s="3"/>
      <c r="C10" s="3"/>
      <c r="D10" s="3"/>
      <c r="E10" s="3" t="s">
        <v>65</v>
      </c>
      <c r="F10" s="3"/>
      <c r="G10" s="3"/>
      <c r="H10" s="4">
        <v>-51.91</v>
      </c>
      <c r="I10" s="4">
        <v>-100.32</v>
      </c>
      <c r="J10" s="4">
        <v>-177.64</v>
      </c>
      <c r="K10" s="4">
        <v>-109.28</v>
      </c>
      <c r="L10" s="4">
        <v>-28.5</v>
      </c>
      <c r="M10" s="4">
        <v>-136.09</v>
      </c>
      <c r="N10" s="4">
        <v>-101.23</v>
      </c>
      <c r="O10" s="4">
        <v>-105.2</v>
      </c>
      <c r="P10" s="4">
        <v>-166.64</v>
      </c>
      <c r="Q10" s="4">
        <v>-159.26</v>
      </c>
      <c r="R10" s="4">
        <v>-126.32</v>
      </c>
      <c r="S10" s="4">
        <v>-147.26</v>
      </c>
      <c r="T10" s="4">
        <v>-94.45</v>
      </c>
      <c r="U10" s="4">
        <v>-169.36</v>
      </c>
      <c r="V10" s="4">
        <v>-96.0</v>
      </c>
      <c r="W10" s="4">
        <v>-131.6</v>
      </c>
      <c r="X10" s="4">
        <v>-166.06</v>
      </c>
      <c r="Y10" s="4">
        <v>-157.04</v>
      </c>
      <c r="Z10" s="4">
        <v>-106.23</v>
      </c>
      <c r="AA10" s="4">
        <v>-297.24</v>
      </c>
      <c r="AB10" s="4">
        <v>-93.45</v>
      </c>
      <c r="AC10" s="4">
        <v>-175.21</v>
      </c>
      <c r="AD10" s="4">
        <v>-41.62</v>
      </c>
      <c r="AE10" s="4">
        <v>-45.01</v>
      </c>
      <c r="AF10" s="4">
        <v>-44.61</v>
      </c>
      <c r="AG10" s="4">
        <v>0.0</v>
      </c>
      <c r="AH10" s="4">
        <v>-140.18</v>
      </c>
      <c r="AI10" s="4">
        <v>-140.82</v>
      </c>
      <c r="AJ10" s="4">
        <v>-2052.89</v>
      </c>
      <c r="AK10" s="4">
        <v>0.0</v>
      </c>
      <c r="AL10" s="4">
        <v>0.0</v>
      </c>
      <c r="AM10" s="4">
        <v>-310.21</v>
      </c>
      <c r="AN10" s="4">
        <v>0.0</v>
      </c>
      <c r="AO10" s="4">
        <v>-466.83</v>
      </c>
      <c r="AP10" s="4">
        <v>0.0</v>
      </c>
      <c r="AQ10" s="4">
        <v>0.0</v>
      </c>
      <c r="AR10" s="4">
        <v>-126.91</v>
      </c>
      <c r="AS10" s="4">
        <v>-64.25</v>
      </c>
      <c r="AT10" s="4">
        <v>-238.96</v>
      </c>
      <c r="AU10" s="4">
        <v>-202.37</v>
      </c>
      <c r="AV10" s="4">
        <v>-71.2</v>
      </c>
      <c r="AW10" s="4">
        <v>-732.52</v>
      </c>
      <c r="AX10" s="4">
        <v>0.0</v>
      </c>
      <c r="AY10" s="4">
        <v>-2039.13</v>
      </c>
      <c r="AZ10" s="4">
        <v>0.0</v>
      </c>
      <c r="BA10" s="4">
        <v>0.0</v>
      </c>
      <c r="BB10" s="4">
        <v>0.0</v>
      </c>
      <c r="BC10" s="4">
        <v>-140.0</v>
      </c>
      <c r="BD10" s="4">
        <v>0.0</v>
      </c>
      <c r="BE10" s="4">
        <v>0.0</v>
      </c>
      <c r="BF10" s="4">
        <v>-615.75</v>
      </c>
      <c r="BG10" s="4">
        <v>0.0</v>
      </c>
      <c r="BH10" s="4">
        <v>0.0</v>
      </c>
      <c r="BI10" s="4">
        <v>0.0</v>
      </c>
      <c r="BJ10" s="4">
        <v>0.0</v>
      </c>
      <c r="BK10" s="4">
        <v>0.0</v>
      </c>
      <c r="BL10" s="4">
        <v>0.0</v>
      </c>
    </row>
    <row r="11">
      <c r="A11" s="3"/>
      <c r="B11" s="3"/>
      <c r="C11" s="3"/>
      <c r="D11" s="3"/>
      <c r="E11" s="3" t="s">
        <v>66</v>
      </c>
      <c r="F11" s="3"/>
      <c r="G11" s="3"/>
      <c r="H11" s="4">
        <v>1668.07</v>
      </c>
      <c r="I11" s="4">
        <v>1628.41</v>
      </c>
      <c r="J11" s="4">
        <v>2337.16</v>
      </c>
      <c r="K11" s="4">
        <v>2113.26</v>
      </c>
      <c r="L11" s="4">
        <v>2312.63</v>
      </c>
      <c r="M11" s="4">
        <v>3135.54</v>
      </c>
      <c r="N11" s="4">
        <v>2902.76</v>
      </c>
      <c r="O11" s="4">
        <v>2198.81</v>
      </c>
      <c r="P11" s="4">
        <v>2676.14</v>
      </c>
      <c r="Q11" s="4">
        <v>1934.07</v>
      </c>
      <c r="R11" s="4">
        <v>2290.65</v>
      </c>
      <c r="S11" s="4">
        <v>1942.73</v>
      </c>
      <c r="T11" s="4">
        <v>2770.63</v>
      </c>
      <c r="U11" s="4">
        <v>2571.68</v>
      </c>
      <c r="V11" s="4">
        <v>2694.72</v>
      </c>
      <c r="W11" s="4">
        <v>2029.95</v>
      </c>
      <c r="X11" s="4">
        <v>2544.83</v>
      </c>
      <c r="Y11" s="4">
        <v>3300.69</v>
      </c>
      <c r="Z11" s="4">
        <v>2114.32</v>
      </c>
      <c r="AA11" s="4">
        <v>3534.24</v>
      </c>
      <c r="AB11" s="4">
        <v>2123.29</v>
      </c>
      <c r="AC11" s="4">
        <v>1995.73</v>
      </c>
      <c r="AD11" s="4">
        <v>2121.64</v>
      </c>
      <c r="AE11" s="4">
        <v>1223.75</v>
      </c>
      <c r="AF11" s="4">
        <v>1796.17</v>
      </c>
      <c r="AG11" s="4">
        <v>1709.35</v>
      </c>
      <c r="AH11" s="4">
        <v>3775.18</v>
      </c>
      <c r="AI11" s="4">
        <v>3241.22</v>
      </c>
      <c r="AJ11" s="4">
        <v>2736.13</v>
      </c>
      <c r="AK11" s="4">
        <v>3796.28</v>
      </c>
      <c r="AL11" s="4">
        <v>3522.59</v>
      </c>
      <c r="AM11" s="4">
        <v>3514.57</v>
      </c>
      <c r="AN11" s="4">
        <v>2598.97</v>
      </c>
      <c r="AO11" s="4">
        <v>2746.26</v>
      </c>
      <c r="AP11" s="4">
        <v>2416.53</v>
      </c>
      <c r="AQ11" s="4">
        <v>2642.86</v>
      </c>
      <c r="AR11" s="4">
        <v>2413.85</v>
      </c>
      <c r="AS11" s="4">
        <v>2768.47</v>
      </c>
      <c r="AT11" s="4">
        <v>3191.23</v>
      </c>
      <c r="AU11" s="4">
        <v>2891.29</v>
      </c>
      <c r="AV11" s="4">
        <v>3315.82</v>
      </c>
      <c r="AW11" s="4">
        <v>3027.81</v>
      </c>
      <c r="AX11" s="4">
        <v>2571.26</v>
      </c>
      <c r="AY11" s="4">
        <v>3923.67</v>
      </c>
      <c r="AZ11" s="4">
        <v>2429.57</v>
      </c>
      <c r="BA11" s="4">
        <v>2832.28</v>
      </c>
      <c r="BB11" s="4">
        <v>2535.9</v>
      </c>
      <c r="BC11" s="4">
        <v>3354.88</v>
      </c>
      <c r="BD11" s="4">
        <v>3180.56</v>
      </c>
      <c r="BE11" s="4">
        <v>2990.82</v>
      </c>
      <c r="BF11" s="4">
        <v>3047.06</v>
      </c>
      <c r="BG11" s="4">
        <v>2980.02</v>
      </c>
      <c r="BH11" s="4">
        <v>3527.32</v>
      </c>
      <c r="BI11" s="4">
        <v>3675.49</v>
      </c>
      <c r="BJ11" s="4">
        <v>2866.25</v>
      </c>
      <c r="BK11" s="4">
        <v>3277.3</v>
      </c>
      <c r="BL11" s="4">
        <v>2322.81</v>
      </c>
    </row>
    <row r="12">
      <c r="A12" s="3"/>
      <c r="B12" s="3"/>
      <c r="C12" s="3"/>
      <c r="D12" s="3"/>
      <c r="E12" s="3" t="s">
        <v>67</v>
      </c>
      <c r="F12" s="3"/>
      <c r="G12" s="3"/>
      <c r="H12" s="4">
        <v>993.49</v>
      </c>
      <c r="I12" s="4">
        <v>1065.88</v>
      </c>
      <c r="J12" s="4">
        <v>1397.23</v>
      </c>
      <c r="K12" s="4">
        <v>1101.33</v>
      </c>
      <c r="L12" s="4">
        <v>1122.23</v>
      </c>
      <c r="M12" s="4">
        <v>1582.08</v>
      </c>
      <c r="N12" s="4">
        <v>1130.56</v>
      </c>
      <c r="O12" s="4">
        <v>1276.52</v>
      </c>
      <c r="P12" s="4">
        <v>1068.72</v>
      </c>
      <c r="Q12" s="4">
        <v>1396.05</v>
      </c>
      <c r="R12" s="4">
        <v>1312.74</v>
      </c>
      <c r="S12" s="4">
        <v>1355.47</v>
      </c>
      <c r="T12" s="4">
        <v>1055.93</v>
      </c>
      <c r="U12" s="4">
        <v>959.62</v>
      </c>
      <c r="V12" s="4">
        <v>1138.32</v>
      </c>
      <c r="W12" s="4">
        <v>681.58</v>
      </c>
      <c r="X12" s="4">
        <v>688.43</v>
      </c>
      <c r="Y12" s="4">
        <v>795.35</v>
      </c>
      <c r="Z12" s="4">
        <v>686.53</v>
      </c>
      <c r="AA12" s="4">
        <v>806.87</v>
      </c>
      <c r="AB12" s="4">
        <v>804.57</v>
      </c>
      <c r="AC12" s="4">
        <v>457.17</v>
      </c>
      <c r="AD12" s="4">
        <v>424.33</v>
      </c>
      <c r="AE12" s="4">
        <v>477.71</v>
      </c>
      <c r="AF12" s="4">
        <v>105.37</v>
      </c>
      <c r="AG12" s="4">
        <v>0.0</v>
      </c>
      <c r="AH12" s="4">
        <v>457.61</v>
      </c>
      <c r="AI12" s="4">
        <v>1137.93</v>
      </c>
      <c r="AJ12" s="4">
        <v>731.71</v>
      </c>
      <c r="AK12" s="4">
        <v>991.98</v>
      </c>
      <c r="AL12" s="4">
        <v>845.58</v>
      </c>
      <c r="AM12" s="4">
        <v>769.0</v>
      </c>
      <c r="AN12" s="4">
        <v>921.94</v>
      </c>
      <c r="AO12" s="4">
        <v>1600.15</v>
      </c>
      <c r="AP12" s="4">
        <v>1181.48</v>
      </c>
      <c r="AQ12" s="4">
        <v>981.09</v>
      </c>
      <c r="AR12" s="4">
        <v>1242.84</v>
      </c>
      <c r="AS12" s="4">
        <v>1100.79</v>
      </c>
      <c r="AT12" s="4">
        <v>1061.19</v>
      </c>
      <c r="AU12" s="4">
        <v>582.7</v>
      </c>
      <c r="AV12" s="4">
        <v>1479.64</v>
      </c>
      <c r="AW12" s="4">
        <v>1069.1</v>
      </c>
      <c r="AX12" s="4">
        <v>1019.63</v>
      </c>
      <c r="AY12" s="4">
        <v>951.88</v>
      </c>
      <c r="AZ12" s="4">
        <v>1404.89</v>
      </c>
      <c r="BA12" s="4">
        <v>556.06</v>
      </c>
      <c r="BB12" s="4">
        <v>929.2</v>
      </c>
      <c r="BC12" s="4">
        <v>587.63</v>
      </c>
      <c r="BD12" s="4">
        <v>1541.88</v>
      </c>
      <c r="BE12" s="4">
        <v>802.12</v>
      </c>
      <c r="BF12" s="4">
        <v>639.66</v>
      </c>
      <c r="BG12" s="4">
        <v>8039.46</v>
      </c>
      <c r="BH12" s="4">
        <v>0.0</v>
      </c>
      <c r="BI12" s="4">
        <v>0.0</v>
      </c>
      <c r="BJ12" s="4">
        <v>0.0</v>
      </c>
      <c r="BK12" s="4">
        <v>0.0</v>
      </c>
      <c r="BL12" s="4">
        <v>0.0</v>
      </c>
    </row>
    <row r="13">
      <c r="A13" s="3"/>
      <c r="B13" s="3"/>
      <c r="C13" s="3"/>
      <c r="D13" s="3"/>
      <c r="E13" s="3" t="s">
        <v>68</v>
      </c>
      <c r="F13" s="3"/>
      <c r="G13" s="3"/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5">
        <v>0.0</v>
      </c>
      <c r="BC13" s="5">
        <v>0.0</v>
      </c>
      <c r="BD13" s="5">
        <v>0.0</v>
      </c>
      <c r="BE13" s="5">
        <v>0.0</v>
      </c>
      <c r="BF13" s="5">
        <v>0.0</v>
      </c>
      <c r="BG13" s="5">
        <v>0.0</v>
      </c>
      <c r="BH13" s="5">
        <v>0.0</v>
      </c>
      <c r="BI13" s="5">
        <v>0.0</v>
      </c>
      <c r="BJ13" s="5">
        <v>0.0</v>
      </c>
      <c r="BK13" s="5">
        <v>0.0</v>
      </c>
      <c r="BL13" s="5">
        <v>0.0</v>
      </c>
    </row>
    <row r="14">
      <c r="A14" s="3"/>
      <c r="B14" s="3"/>
      <c r="C14" s="3"/>
      <c r="D14" s="3" t="s">
        <v>69</v>
      </c>
      <c r="E14" s="3"/>
      <c r="F14" s="3"/>
      <c r="G14" s="3"/>
      <c r="H14" s="4">
        <f t="shared" ref="H14:BL14" si="1">ROUND(SUM(H3:H13),5)</f>
        <v>75415.98</v>
      </c>
      <c r="I14" s="4">
        <f t="shared" si="1"/>
        <v>69647.58</v>
      </c>
      <c r="J14" s="4">
        <f t="shared" si="1"/>
        <v>75084.35</v>
      </c>
      <c r="K14" s="4">
        <f t="shared" si="1"/>
        <v>68349.07</v>
      </c>
      <c r="L14" s="4">
        <f t="shared" si="1"/>
        <v>60318.2</v>
      </c>
      <c r="M14" s="4">
        <f t="shared" si="1"/>
        <v>63425.5</v>
      </c>
      <c r="N14" s="4">
        <f t="shared" si="1"/>
        <v>71384.27</v>
      </c>
      <c r="O14" s="4">
        <f t="shared" si="1"/>
        <v>62008.46</v>
      </c>
      <c r="P14" s="4">
        <f t="shared" si="1"/>
        <v>67180.56</v>
      </c>
      <c r="Q14" s="4">
        <f t="shared" si="1"/>
        <v>123389.35</v>
      </c>
      <c r="R14" s="4">
        <f t="shared" si="1"/>
        <v>61869.73</v>
      </c>
      <c r="S14" s="4">
        <f t="shared" si="1"/>
        <v>57703.2</v>
      </c>
      <c r="T14" s="4">
        <f t="shared" si="1"/>
        <v>54468.11</v>
      </c>
      <c r="U14" s="4">
        <f t="shared" si="1"/>
        <v>55779.15</v>
      </c>
      <c r="V14" s="4">
        <f t="shared" si="1"/>
        <v>208935.29</v>
      </c>
      <c r="W14" s="4">
        <f t="shared" si="1"/>
        <v>56032.42</v>
      </c>
      <c r="X14" s="4">
        <f t="shared" si="1"/>
        <v>48286.8</v>
      </c>
      <c r="Y14" s="4">
        <f t="shared" si="1"/>
        <v>40105.08</v>
      </c>
      <c r="Z14" s="4">
        <f t="shared" si="1"/>
        <v>41527.74</v>
      </c>
      <c r="AA14" s="4">
        <f t="shared" si="1"/>
        <v>48736.82</v>
      </c>
      <c r="AB14" s="4">
        <f t="shared" si="1"/>
        <v>80082.19</v>
      </c>
      <c r="AC14" s="4">
        <f t="shared" si="1"/>
        <v>45254.23</v>
      </c>
      <c r="AD14" s="4">
        <f t="shared" si="1"/>
        <v>34514.82</v>
      </c>
      <c r="AE14" s="4">
        <f t="shared" si="1"/>
        <v>35616.81</v>
      </c>
      <c r="AF14" s="4">
        <f t="shared" si="1"/>
        <v>17916.28</v>
      </c>
      <c r="AG14" s="4">
        <f t="shared" si="1"/>
        <v>4736.74</v>
      </c>
      <c r="AH14" s="4">
        <f t="shared" si="1"/>
        <v>37362.15</v>
      </c>
      <c r="AI14" s="4">
        <f t="shared" si="1"/>
        <v>76959.39</v>
      </c>
      <c r="AJ14" s="4">
        <f t="shared" si="1"/>
        <v>64288.16</v>
      </c>
      <c r="AK14" s="4">
        <f t="shared" si="1"/>
        <v>65659.58</v>
      </c>
      <c r="AL14" s="4">
        <f t="shared" si="1"/>
        <v>70155.17</v>
      </c>
      <c r="AM14" s="4">
        <f t="shared" si="1"/>
        <v>74202.31</v>
      </c>
      <c r="AN14" s="4">
        <f t="shared" si="1"/>
        <v>72393.38</v>
      </c>
      <c r="AO14" s="4">
        <f t="shared" si="1"/>
        <v>74602.01</v>
      </c>
      <c r="AP14" s="4">
        <f t="shared" si="1"/>
        <v>78183.43</v>
      </c>
      <c r="AQ14" s="4">
        <f t="shared" si="1"/>
        <v>65450.05</v>
      </c>
      <c r="AR14" s="4">
        <f t="shared" si="1"/>
        <v>72945.96</v>
      </c>
      <c r="AS14" s="4">
        <f t="shared" si="1"/>
        <v>71265.75</v>
      </c>
      <c r="AT14" s="4">
        <f t="shared" si="1"/>
        <v>75394.01</v>
      </c>
      <c r="AU14" s="4">
        <f t="shared" si="1"/>
        <v>54606.84</v>
      </c>
      <c r="AV14" s="4">
        <f t="shared" si="1"/>
        <v>79461.18</v>
      </c>
      <c r="AW14" s="4">
        <f t="shared" si="1"/>
        <v>57491.69</v>
      </c>
      <c r="AX14" s="4">
        <f t="shared" si="1"/>
        <v>74103.9</v>
      </c>
      <c r="AY14" s="4">
        <f t="shared" si="1"/>
        <v>76775.14</v>
      </c>
      <c r="AZ14" s="4">
        <f t="shared" si="1"/>
        <v>69295.67</v>
      </c>
      <c r="BA14" s="4">
        <f t="shared" si="1"/>
        <v>72950.17</v>
      </c>
      <c r="BB14" s="4">
        <f t="shared" si="1"/>
        <v>67123.35</v>
      </c>
      <c r="BC14" s="4">
        <f t="shared" si="1"/>
        <v>68499.71</v>
      </c>
      <c r="BD14" s="4">
        <f t="shared" si="1"/>
        <v>76092.3</v>
      </c>
      <c r="BE14" s="4">
        <f t="shared" si="1"/>
        <v>63453.53</v>
      </c>
      <c r="BF14" s="4">
        <f t="shared" si="1"/>
        <v>60074.42</v>
      </c>
      <c r="BG14" s="4">
        <f t="shared" si="1"/>
        <v>54148.08</v>
      </c>
      <c r="BH14" s="4">
        <f t="shared" si="1"/>
        <v>65153.99</v>
      </c>
      <c r="BI14" s="4">
        <f t="shared" si="1"/>
        <v>53723.49</v>
      </c>
      <c r="BJ14" s="4">
        <f t="shared" si="1"/>
        <v>48355.65</v>
      </c>
      <c r="BK14" s="4">
        <f t="shared" si="1"/>
        <v>56394.57</v>
      </c>
      <c r="BL14" s="4">
        <f t="shared" si="1"/>
        <v>56668.26</v>
      </c>
    </row>
    <row r="15">
      <c r="A15" s="3"/>
      <c r="B15" s="3"/>
      <c r="C15" s="3"/>
      <c r="D15" s="3" t="s">
        <v>70</v>
      </c>
      <c r="E15" s="3"/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>
      <c r="A16" s="3"/>
      <c r="B16" s="3"/>
      <c r="C16" s="3"/>
      <c r="D16" s="3"/>
      <c r="E16" s="3" t="s">
        <v>71</v>
      </c>
      <c r="F16" s="3"/>
      <c r="G16" s="3"/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0.0</v>
      </c>
      <c r="AP16" s="4">
        <v>0.0</v>
      </c>
      <c r="AQ16" s="4">
        <v>0.0</v>
      </c>
      <c r="AR16" s="4">
        <v>0.0</v>
      </c>
      <c r="AS16" s="4">
        <v>0.0</v>
      </c>
      <c r="AT16" s="4">
        <v>0.0</v>
      </c>
      <c r="AU16" s="4">
        <v>0.0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0.0</v>
      </c>
      <c r="BB16" s="4">
        <v>0.0</v>
      </c>
      <c r="BC16" s="4">
        <v>0.0</v>
      </c>
      <c r="BD16" s="4">
        <v>0.0</v>
      </c>
      <c r="BE16" s="4">
        <v>0.0</v>
      </c>
      <c r="BF16" s="4">
        <v>0.0</v>
      </c>
      <c r="BG16" s="4">
        <v>0.0</v>
      </c>
      <c r="BH16" s="4">
        <v>0.0</v>
      </c>
      <c r="BI16" s="4">
        <v>0.0</v>
      </c>
      <c r="BJ16" s="4">
        <v>0.0</v>
      </c>
      <c r="BK16" s="4">
        <v>0.0</v>
      </c>
      <c r="BL16" s="4">
        <v>0.0</v>
      </c>
    </row>
    <row r="17">
      <c r="A17" s="3"/>
      <c r="B17" s="3"/>
      <c r="C17" s="3"/>
      <c r="D17" s="3"/>
      <c r="E17" s="3" t="s">
        <v>70</v>
      </c>
      <c r="F17" s="3"/>
      <c r="G17" s="3"/>
      <c r="H17" s="4">
        <v>1196.55</v>
      </c>
      <c r="I17" s="4">
        <v>940.77</v>
      </c>
      <c r="J17" s="4">
        <v>1651.78</v>
      </c>
      <c r="K17" s="4">
        <v>1403.25</v>
      </c>
      <c r="L17" s="4">
        <v>1291.12</v>
      </c>
      <c r="M17" s="4">
        <v>1763.15</v>
      </c>
      <c r="N17" s="4">
        <v>1687.82</v>
      </c>
      <c r="O17" s="4">
        <v>1177.88</v>
      </c>
      <c r="P17" s="4">
        <v>1669.52</v>
      </c>
      <c r="Q17" s="4">
        <v>974.6</v>
      </c>
      <c r="R17" s="4">
        <v>1430.02</v>
      </c>
      <c r="S17" s="4">
        <v>1102.66</v>
      </c>
      <c r="T17" s="4">
        <v>1272.25</v>
      </c>
      <c r="U17" s="4">
        <v>1380.57</v>
      </c>
      <c r="V17" s="4">
        <v>1592.8</v>
      </c>
      <c r="W17" s="4">
        <v>1181.12</v>
      </c>
      <c r="X17" s="4">
        <v>1494.27</v>
      </c>
      <c r="Y17" s="4">
        <v>2001.77</v>
      </c>
      <c r="Z17" s="4">
        <v>1142.78</v>
      </c>
      <c r="AA17" s="4">
        <v>1954.79</v>
      </c>
      <c r="AB17" s="4">
        <v>1261.11</v>
      </c>
      <c r="AC17" s="4">
        <v>2042.49</v>
      </c>
      <c r="AD17" s="4">
        <v>595.95</v>
      </c>
      <c r="AE17" s="4">
        <v>604.76</v>
      </c>
      <c r="AF17" s="4">
        <v>1519.88</v>
      </c>
      <c r="AG17" s="4">
        <v>898.24</v>
      </c>
      <c r="AH17" s="4">
        <v>2465.51</v>
      </c>
      <c r="AI17" s="4">
        <v>972.38</v>
      </c>
      <c r="AJ17" s="4">
        <v>7097.97</v>
      </c>
      <c r="AK17" s="4">
        <v>0.0</v>
      </c>
      <c r="AL17" s="4">
        <v>132.48</v>
      </c>
      <c r="AM17" s="4">
        <v>3457.03</v>
      </c>
      <c r="AN17" s="4">
        <v>27.0</v>
      </c>
      <c r="AO17" s="4">
        <v>5608.18</v>
      </c>
      <c r="AP17" s="4">
        <v>115.68</v>
      </c>
      <c r="AQ17" s="4">
        <v>0.0</v>
      </c>
      <c r="AR17" s="4">
        <v>1655.63</v>
      </c>
      <c r="AS17" s="4">
        <v>949.45</v>
      </c>
      <c r="AT17" s="4">
        <v>2947.79</v>
      </c>
      <c r="AU17" s="4">
        <v>1294.16</v>
      </c>
      <c r="AV17" s="4">
        <v>1700.91</v>
      </c>
      <c r="AW17" s="4">
        <v>4842.18</v>
      </c>
      <c r="AX17" s="4">
        <v>40.14</v>
      </c>
      <c r="AY17" s="4">
        <v>564.63</v>
      </c>
      <c r="AZ17" s="4">
        <v>1864.55</v>
      </c>
      <c r="BA17" s="4">
        <v>2221.19</v>
      </c>
      <c r="BB17" s="4">
        <v>3843.69</v>
      </c>
      <c r="BC17" s="4">
        <v>225.3</v>
      </c>
      <c r="BD17" s="4">
        <v>2112.1</v>
      </c>
      <c r="BE17" s="4">
        <v>2124.15</v>
      </c>
      <c r="BF17" s="4">
        <v>2371.13</v>
      </c>
      <c r="BG17" s="4">
        <v>1525.22</v>
      </c>
      <c r="BH17" s="4">
        <v>2428.09</v>
      </c>
      <c r="BI17" s="4">
        <v>2820.14</v>
      </c>
      <c r="BJ17" s="4">
        <v>1549.04</v>
      </c>
      <c r="BK17" s="4">
        <v>3539.9</v>
      </c>
      <c r="BL17" s="4">
        <v>1437.46</v>
      </c>
    </row>
    <row r="18">
      <c r="A18" s="3"/>
      <c r="B18" s="3"/>
      <c r="C18" s="3"/>
      <c r="D18" s="3"/>
      <c r="E18" s="3" t="s">
        <v>72</v>
      </c>
      <c r="F18" s="3"/>
      <c r="G18" s="3"/>
      <c r="H18" s="4">
        <v>22.75</v>
      </c>
      <c r="I18" s="4">
        <v>7.85</v>
      </c>
      <c r="J18" s="4">
        <v>0.61</v>
      </c>
      <c r="K18" s="4">
        <v>44.94</v>
      </c>
      <c r="L18" s="4">
        <v>31.72</v>
      </c>
      <c r="M18" s="4">
        <v>293.3</v>
      </c>
      <c r="N18" s="4">
        <v>15.06</v>
      </c>
      <c r="O18" s="4">
        <v>60.24</v>
      </c>
      <c r="P18" s="4">
        <v>16.37</v>
      </c>
      <c r="Q18" s="4">
        <v>54.86</v>
      </c>
      <c r="R18" s="4">
        <v>3.57</v>
      </c>
      <c r="S18" s="4">
        <v>711.34</v>
      </c>
      <c r="T18" s="4">
        <v>608.15</v>
      </c>
      <c r="U18" s="4">
        <v>2.86</v>
      </c>
      <c r="V18" s="4">
        <v>514.69</v>
      </c>
      <c r="W18" s="4">
        <v>17.76</v>
      </c>
      <c r="X18" s="4">
        <v>188.76</v>
      </c>
      <c r="Y18" s="4">
        <v>33.57</v>
      </c>
      <c r="Z18" s="4">
        <v>84.8</v>
      </c>
      <c r="AA18" s="4">
        <v>91.93</v>
      </c>
      <c r="AB18" s="4">
        <v>27.4</v>
      </c>
      <c r="AC18" s="4">
        <v>47.2</v>
      </c>
      <c r="AD18" s="4">
        <v>268.4</v>
      </c>
      <c r="AE18" s="4">
        <v>0.0</v>
      </c>
      <c r="AF18" s="4">
        <v>34.15</v>
      </c>
      <c r="AG18" s="4">
        <v>0.0</v>
      </c>
      <c r="AH18" s="4">
        <v>0.0</v>
      </c>
      <c r="AI18" s="4">
        <v>4.39</v>
      </c>
      <c r="AJ18" s="4">
        <v>193.73</v>
      </c>
      <c r="AK18" s="4">
        <v>0.0</v>
      </c>
      <c r="AL18" s="4">
        <v>0.0</v>
      </c>
      <c r="AM18" s="4">
        <v>-297.66</v>
      </c>
      <c r="AN18" s="4">
        <v>0.0</v>
      </c>
      <c r="AO18" s="4">
        <v>451.99</v>
      </c>
      <c r="AP18" s="4">
        <v>0.0</v>
      </c>
      <c r="AQ18" s="4">
        <v>0.0</v>
      </c>
      <c r="AR18" s="4">
        <v>64.41</v>
      </c>
      <c r="AS18" s="4">
        <v>0.0</v>
      </c>
      <c r="AT18" s="4">
        <v>43.06</v>
      </c>
      <c r="AU18" s="4">
        <v>7.28</v>
      </c>
      <c r="AV18" s="4">
        <v>147.47</v>
      </c>
      <c r="AW18" s="4">
        <v>0.0</v>
      </c>
      <c r="AX18" s="4">
        <v>0.0</v>
      </c>
      <c r="AY18" s="4">
        <v>261.82</v>
      </c>
      <c r="AZ18" s="4">
        <v>0.0</v>
      </c>
      <c r="BA18" s="4">
        <v>0.0</v>
      </c>
      <c r="BB18" s="4">
        <v>0.0</v>
      </c>
      <c r="BC18" s="4">
        <v>49.8</v>
      </c>
      <c r="BD18" s="4">
        <v>0.0</v>
      </c>
      <c r="BE18" s="4">
        <v>76.7</v>
      </c>
      <c r="BF18" s="4">
        <v>174.55</v>
      </c>
      <c r="BG18" s="4">
        <v>0.0</v>
      </c>
      <c r="BH18" s="4">
        <v>0.0</v>
      </c>
      <c r="BI18" s="4">
        <v>234.66</v>
      </c>
      <c r="BJ18" s="4">
        <v>329.84</v>
      </c>
      <c r="BK18" s="4">
        <v>296.76</v>
      </c>
      <c r="BL18" s="4">
        <v>40.57</v>
      </c>
    </row>
    <row r="19">
      <c r="A19" s="3"/>
      <c r="B19" s="3"/>
      <c r="C19" s="3"/>
      <c r="D19" s="3"/>
      <c r="E19" s="3" t="s">
        <v>73</v>
      </c>
      <c r="F19" s="3"/>
      <c r="G19" s="3"/>
      <c r="H19" s="4">
        <v>0.0</v>
      </c>
      <c r="I19" s="4">
        <v>0.0</v>
      </c>
      <c r="J19" s="4">
        <v>0.0</v>
      </c>
      <c r="K19" s="4">
        <v>0.0</v>
      </c>
      <c r="L19" s="4">
        <v>114.73</v>
      </c>
      <c r="M19" s="4">
        <v>0.0</v>
      </c>
      <c r="N19" s="4">
        <v>100.11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82.38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80.76</v>
      </c>
      <c r="AC19" s="4">
        <v>0.0</v>
      </c>
      <c r="AD19" s="4">
        <v>95.76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96.76</v>
      </c>
      <c r="AM19" s="4">
        <v>0.0</v>
      </c>
      <c r="AN19" s="4">
        <v>0.0</v>
      </c>
      <c r="AO19" s="4">
        <v>0.0</v>
      </c>
      <c r="AP19" s="4">
        <v>0.0</v>
      </c>
      <c r="AQ19" s="4">
        <v>0.0</v>
      </c>
      <c r="AR19" s="4">
        <v>8.95</v>
      </c>
      <c r="AS19" s="4">
        <v>0.0</v>
      </c>
      <c r="AT19" s="4">
        <v>0.0</v>
      </c>
      <c r="AU19" s="4">
        <v>0.0</v>
      </c>
      <c r="AV19" s="4">
        <v>31.58</v>
      </c>
      <c r="AW19" s="4">
        <v>46.23</v>
      </c>
      <c r="AX19" s="4">
        <v>163.01</v>
      </c>
      <c r="AY19" s="4">
        <v>0.0</v>
      </c>
      <c r="AZ19" s="4">
        <v>0.0</v>
      </c>
      <c r="BA19" s="4">
        <v>0.0</v>
      </c>
      <c r="BB19" s="4">
        <v>104.95</v>
      </c>
      <c r="BC19" s="4">
        <v>23.82</v>
      </c>
      <c r="BD19" s="4">
        <v>0.0</v>
      </c>
      <c r="BE19" s="4">
        <v>0.0</v>
      </c>
      <c r="BF19" s="4">
        <v>0.0</v>
      </c>
      <c r="BG19" s="4">
        <v>0.0</v>
      </c>
      <c r="BH19" s="4">
        <v>0.0</v>
      </c>
      <c r="BI19" s="4">
        <v>0.0</v>
      </c>
      <c r="BJ19" s="4">
        <v>0.0</v>
      </c>
      <c r="BK19" s="4">
        <v>0.0</v>
      </c>
      <c r="BL19" s="4">
        <v>0.0</v>
      </c>
    </row>
    <row r="20">
      <c r="A20" s="3"/>
      <c r="B20" s="3"/>
      <c r="C20" s="3"/>
      <c r="D20" s="3"/>
      <c r="E20" s="3" t="s">
        <v>74</v>
      </c>
      <c r="F20" s="3"/>
      <c r="G20" s="3"/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0.0</v>
      </c>
      <c r="AR20" s="4">
        <v>0.0</v>
      </c>
      <c r="AS20" s="4">
        <v>0.0</v>
      </c>
      <c r="AT20" s="4">
        <v>0.0</v>
      </c>
      <c r="AU20" s="4">
        <v>0.0</v>
      </c>
      <c r="AV20" s="4">
        <v>0.0</v>
      </c>
      <c r="AW20" s="4">
        <v>0.0</v>
      </c>
      <c r="AX20" s="4">
        <v>0.0</v>
      </c>
      <c r="AY20" s="4">
        <v>0.0</v>
      </c>
      <c r="AZ20" s="4">
        <v>0.0</v>
      </c>
      <c r="BA20" s="4">
        <v>0.0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  <c r="BG20" s="4">
        <v>0.0</v>
      </c>
      <c r="BH20" s="4">
        <v>0.0</v>
      </c>
      <c r="BI20" s="4">
        <v>0.0</v>
      </c>
      <c r="BJ20" s="4">
        <v>0.0</v>
      </c>
      <c r="BK20" s="4">
        <v>0.0</v>
      </c>
      <c r="BL20" s="4">
        <v>0.0</v>
      </c>
    </row>
    <row r="21" ht="15.75" customHeight="1">
      <c r="A21" s="3"/>
      <c r="B21" s="3"/>
      <c r="C21" s="3"/>
      <c r="D21" s="3" t="s">
        <v>75</v>
      </c>
      <c r="E21" s="3"/>
      <c r="F21" s="3"/>
      <c r="G21" s="3"/>
      <c r="H21" s="6">
        <f t="shared" ref="H21:BL21" si="2">ROUND(SUM(H15:H20),5)</f>
        <v>1219.3</v>
      </c>
      <c r="I21" s="6">
        <f t="shared" si="2"/>
        <v>948.62</v>
      </c>
      <c r="J21" s="6">
        <f t="shared" si="2"/>
        <v>1652.39</v>
      </c>
      <c r="K21" s="6">
        <f t="shared" si="2"/>
        <v>1448.19</v>
      </c>
      <c r="L21" s="6">
        <f t="shared" si="2"/>
        <v>1437.57</v>
      </c>
      <c r="M21" s="6">
        <f t="shared" si="2"/>
        <v>2056.45</v>
      </c>
      <c r="N21" s="6">
        <f t="shared" si="2"/>
        <v>1802.99</v>
      </c>
      <c r="O21" s="6">
        <f t="shared" si="2"/>
        <v>1238.12</v>
      </c>
      <c r="P21" s="6">
        <f t="shared" si="2"/>
        <v>1685.89</v>
      </c>
      <c r="Q21" s="6">
        <f t="shared" si="2"/>
        <v>1029.46</v>
      </c>
      <c r="R21" s="6">
        <f t="shared" si="2"/>
        <v>1433.59</v>
      </c>
      <c r="S21" s="6">
        <f t="shared" si="2"/>
        <v>1814</v>
      </c>
      <c r="T21" s="6">
        <f t="shared" si="2"/>
        <v>1880.4</v>
      </c>
      <c r="U21" s="6">
        <f t="shared" si="2"/>
        <v>1465.81</v>
      </c>
      <c r="V21" s="6">
        <f t="shared" si="2"/>
        <v>2107.49</v>
      </c>
      <c r="W21" s="6">
        <f t="shared" si="2"/>
        <v>1198.88</v>
      </c>
      <c r="X21" s="6">
        <f t="shared" si="2"/>
        <v>1683.03</v>
      </c>
      <c r="Y21" s="6">
        <f t="shared" si="2"/>
        <v>2035.34</v>
      </c>
      <c r="Z21" s="6">
        <f t="shared" si="2"/>
        <v>1227.58</v>
      </c>
      <c r="AA21" s="6">
        <f t="shared" si="2"/>
        <v>2046.72</v>
      </c>
      <c r="AB21" s="6">
        <f t="shared" si="2"/>
        <v>1369.27</v>
      </c>
      <c r="AC21" s="6">
        <f t="shared" si="2"/>
        <v>2089.69</v>
      </c>
      <c r="AD21" s="6">
        <f t="shared" si="2"/>
        <v>960.11</v>
      </c>
      <c r="AE21" s="6">
        <f t="shared" si="2"/>
        <v>604.76</v>
      </c>
      <c r="AF21" s="6">
        <f t="shared" si="2"/>
        <v>1554.03</v>
      </c>
      <c r="AG21" s="6">
        <f t="shared" si="2"/>
        <v>898.24</v>
      </c>
      <c r="AH21" s="6">
        <f t="shared" si="2"/>
        <v>2465.51</v>
      </c>
      <c r="AI21" s="6">
        <f t="shared" si="2"/>
        <v>976.77</v>
      </c>
      <c r="AJ21" s="6">
        <f t="shared" si="2"/>
        <v>7291.7</v>
      </c>
      <c r="AK21" s="6">
        <f t="shared" si="2"/>
        <v>0</v>
      </c>
      <c r="AL21" s="6">
        <f t="shared" si="2"/>
        <v>229.24</v>
      </c>
      <c r="AM21" s="6">
        <f t="shared" si="2"/>
        <v>3159.37</v>
      </c>
      <c r="AN21" s="6">
        <f t="shared" si="2"/>
        <v>27</v>
      </c>
      <c r="AO21" s="6">
        <f t="shared" si="2"/>
        <v>6060.17</v>
      </c>
      <c r="AP21" s="6">
        <f t="shared" si="2"/>
        <v>115.68</v>
      </c>
      <c r="AQ21" s="6">
        <f t="shared" si="2"/>
        <v>0</v>
      </c>
      <c r="AR21" s="6">
        <f t="shared" si="2"/>
        <v>1728.99</v>
      </c>
      <c r="AS21" s="6">
        <f t="shared" si="2"/>
        <v>949.45</v>
      </c>
      <c r="AT21" s="6">
        <f t="shared" si="2"/>
        <v>2990.85</v>
      </c>
      <c r="AU21" s="6">
        <f t="shared" si="2"/>
        <v>1301.44</v>
      </c>
      <c r="AV21" s="6">
        <f t="shared" si="2"/>
        <v>1879.96</v>
      </c>
      <c r="AW21" s="6">
        <f t="shared" si="2"/>
        <v>4888.41</v>
      </c>
      <c r="AX21" s="6">
        <f t="shared" si="2"/>
        <v>203.15</v>
      </c>
      <c r="AY21" s="6">
        <f t="shared" si="2"/>
        <v>826.45</v>
      </c>
      <c r="AZ21" s="6">
        <f t="shared" si="2"/>
        <v>1864.55</v>
      </c>
      <c r="BA21" s="6">
        <f t="shared" si="2"/>
        <v>2221.19</v>
      </c>
      <c r="BB21" s="6">
        <f t="shared" si="2"/>
        <v>3948.64</v>
      </c>
      <c r="BC21" s="6">
        <f t="shared" si="2"/>
        <v>298.92</v>
      </c>
      <c r="BD21" s="6">
        <f t="shared" si="2"/>
        <v>2112.1</v>
      </c>
      <c r="BE21" s="6">
        <f t="shared" si="2"/>
        <v>2200.85</v>
      </c>
      <c r="BF21" s="6">
        <f t="shared" si="2"/>
        <v>2545.68</v>
      </c>
      <c r="BG21" s="6">
        <f t="shared" si="2"/>
        <v>1525.22</v>
      </c>
      <c r="BH21" s="6">
        <f t="shared" si="2"/>
        <v>2428.09</v>
      </c>
      <c r="BI21" s="6">
        <f t="shared" si="2"/>
        <v>3054.8</v>
      </c>
      <c r="BJ21" s="6">
        <f t="shared" si="2"/>
        <v>1878.88</v>
      </c>
      <c r="BK21" s="6">
        <f t="shared" si="2"/>
        <v>3836.66</v>
      </c>
      <c r="BL21" s="6">
        <f t="shared" si="2"/>
        <v>1478.03</v>
      </c>
    </row>
    <row r="22" ht="15.75" customHeight="1">
      <c r="A22" s="3"/>
      <c r="B22" s="3"/>
      <c r="C22" s="3" t="s">
        <v>76</v>
      </c>
      <c r="D22" s="3"/>
      <c r="E22" s="3"/>
      <c r="F22" s="3"/>
      <c r="G22" s="3"/>
      <c r="H22" s="4">
        <f t="shared" ref="H22:BL22" si="3">ROUND(H14-H21,5)</f>
        <v>74196.68</v>
      </c>
      <c r="I22" s="4">
        <f t="shared" si="3"/>
        <v>68698.96</v>
      </c>
      <c r="J22" s="4">
        <f t="shared" si="3"/>
        <v>73431.96</v>
      </c>
      <c r="K22" s="4">
        <f t="shared" si="3"/>
        <v>66900.88</v>
      </c>
      <c r="L22" s="4">
        <f t="shared" si="3"/>
        <v>58880.63</v>
      </c>
      <c r="M22" s="4">
        <f t="shared" si="3"/>
        <v>61369.05</v>
      </c>
      <c r="N22" s="4">
        <f t="shared" si="3"/>
        <v>69581.28</v>
      </c>
      <c r="O22" s="4">
        <f t="shared" si="3"/>
        <v>60770.34</v>
      </c>
      <c r="P22" s="4">
        <f t="shared" si="3"/>
        <v>65494.67</v>
      </c>
      <c r="Q22" s="4">
        <f t="shared" si="3"/>
        <v>122359.89</v>
      </c>
      <c r="R22" s="4">
        <f t="shared" si="3"/>
        <v>60436.14</v>
      </c>
      <c r="S22" s="4">
        <f t="shared" si="3"/>
        <v>55889.2</v>
      </c>
      <c r="T22" s="4">
        <f t="shared" si="3"/>
        <v>52587.71</v>
      </c>
      <c r="U22" s="4">
        <f t="shared" si="3"/>
        <v>54313.34</v>
      </c>
      <c r="V22" s="4">
        <f t="shared" si="3"/>
        <v>206827.8</v>
      </c>
      <c r="W22" s="4">
        <f t="shared" si="3"/>
        <v>54833.54</v>
      </c>
      <c r="X22" s="4">
        <f t="shared" si="3"/>
        <v>46603.77</v>
      </c>
      <c r="Y22" s="4">
        <f t="shared" si="3"/>
        <v>38069.74</v>
      </c>
      <c r="Z22" s="4">
        <f t="shared" si="3"/>
        <v>40300.16</v>
      </c>
      <c r="AA22" s="4">
        <f t="shared" si="3"/>
        <v>46690.1</v>
      </c>
      <c r="AB22" s="4">
        <f t="shared" si="3"/>
        <v>78712.92</v>
      </c>
      <c r="AC22" s="4">
        <f t="shared" si="3"/>
        <v>43164.54</v>
      </c>
      <c r="AD22" s="4">
        <f t="shared" si="3"/>
        <v>33554.71</v>
      </c>
      <c r="AE22" s="4">
        <f t="shared" si="3"/>
        <v>35012.05</v>
      </c>
      <c r="AF22" s="4">
        <f t="shared" si="3"/>
        <v>16362.25</v>
      </c>
      <c r="AG22" s="4">
        <f t="shared" si="3"/>
        <v>3838.5</v>
      </c>
      <c r="AH22" s="4">
        <f t="shared" si="3"/>
        <v>34896.64</v>
      </c>
      <c r="AI22" s="4">
        <f t="shared" si="3"/>
        <v>75982.62</v>
      </c>
      <c r="AJ22" s="4">
        <f t="shared" si="3"/>
        <v>56996.46</v>
      </c>
      <c r="AK22" s="4">
        <f t="shared" si="3"/>
        <v>65659.58</v>
      </c>
      <c r="AL22" s="4">
        <f t="shared" si="3"/>
        <v>69925.93</v>
      </c>
      <c r="AM22" s="4">
        <f t="shared" si="3"/>
        <v>71042.94</v>
      </c>
      <c r="AN22" s="4">
        <f t="shared" si="3"/>
        <v>72366.38</v>
      </c>
      <c r="AO22" s="4">
        <f t="shared" si="3"/>
        <v>68541.84</v>
      </c>
      <c r="AP22" s="4">
        <f t="shared" si="3"/>
        <v>78067.75</v>
      </c>
      <c r="AQ22" s="4">
        <f t="shared" si="3"/>
        <v>65450.05</v>
      </c>
      <c r="AR22" s="4">
        <f t="shared" si="3"/>
        <v>71216.97</v>
      </c>
      <c r="AS22" s="4">
        <f t="shared" si="3"/>
        <v>70316.3</v>
      </c>
      <c r="AT22" s="4">
        <f t="shared" si="3"/>
        <v>72403.16</v>
      </c>
      <c r="AU22" s="4">
        <f t="shared" si="3"/>
        <v>53305.4</v>
      </c>
      <c r="AV22" s="4">
        <f t="shared" si="3"/>
        <v>77581.22</v>
      </c>
      <c r="AW22" s="4">
        <f t="shared" si="3"/>
        <v>52603.28</v>
      </c>
      <c r="AX22" s="4">
        <f t="shared" si="3"/>
        <v>73900.75</v>
      </c>
      <c r="AY22" s="4">
        <f t="shared" si="3"/>
        <v>75948.69</v>
      </c>
      <c r="AZ22" s="4">
        <f t="shared" si="3"/>
        <v>67431.12</v>
      </c>
      <c r="BA22" s="4">
        <f t="shared" si="3"/>
        <v>70728.98</v>
      </c>
      <c r="BB22" s="4">
        <f t="shared" si="3"/>
        <v>63174.71</v>
      </c>
      <c r="BC22" s="4">
        <f t="shared" si="3"/>
        <v>68200.79</v>
      </c>
      <c r="BD22" s="4">
        <f t="shared" si="3"/>
        <v>73980.2</v>
      </c>
      <c r="BE22" s="4">
        <f t="shared" si="3"/>
        <v>61252.68</v>
      </c>
      <c r="BF22" s="4">
        <f t="shared" si="3"/>
        <v>57528.74</v>
      </c>
      <c r="BG22" s="4">
        <f t="shared" si="3"/>
        <v>52622.86</v>
      </c>
      <c r="BH22" s="4">
        <f t="shared" si="3"/>
        <v>62725.9</v>
      </c>
      <c r="BI22" s="4">
        <f t="shared" si="3"/>
        <v>50668.69</v>
      </c>
      <c r="BJ22" s="4">
        <f t="shared" si="3"/>
        <v>46476.77</v>
      </c>
      <c r="BK22" s="4">
        <f t="shared" si="3"/>
        <v>52557.91</v>
      </c>
      <c r="BL22" s="4">
        <f t="shared" si="3"/>
        <v>55190.23</v>
      </c>
    </row>
    <row r="23" ht="15.75" customHeight="1">
      <c r="A23" s="3"/>
      <c r="B23" s="3"/>
      <c r="C23" s="3"/>
      <c r="D23" s="3" t="s">
        <v>77</v>
      </c>
      <c r="E23" s="3"/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ht="15.75" customHeight="1">
      <c r="A24" s="3"/>
      <c r="B24" s="3"/>
      <c r="C24" s="3"/>
      <c r="D24" s="3"/>
      <c r="E24" s="3" t="s">
        <v>78</v>
      </c>
      <c r="F24" s="3"/>
      <c r="G24" s="3"/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  <c r="AG24" s="4">
        <v>0.0</v>
      </c>
      <c r="AH24" s="4">
        <v>0.0</v>
      </c>
      <c r="AI24" s="4">
        <v>0.0</v>
      </c>
      <c r="AJ24" s="4">
        <v>0.0</v>
      </c>
      <c r="AK24" s="4">
        <v>0.0</v>
      </c>
      <c r="AL24" s="4">
        <v>0.0</v>
      </c>
      <c r="AM24" s="4">
        <v>0.0</v>
      </c>
      <c r="AN24" s="4">
        <v>0.0</v>
      </c>
      <c r="AO24" s="4">
        <v>0.0</v>
      </c>
      <c r="AP24" s="4">
        <v>0.0</v>
      </c>
      <c r="AQ24" s="4">
        <v>0.0</v>
      </c>
      <c r="AR24" s="4">
        <v>0.0</v>
      </c>
      <c r="AS24" s="4">
        <v>0.0</v>
      </c>
      <c r="AT24" s="4">
        <v>0.0</v>
      </c>
      <c r="AU24" s="4">
        <v>0.0</v>
      </c>
      <c r="AV24" s="4">
        <v>0.0</v>
      </c>
      <c r="AW24" s="4">
        <v>0.0</v>
      </c>
      <c r="AX24" s="4">
        <v>0.0</v>
      </c>
      <c r="AY24" s="4">
        <v>0.0</v>
      </c>
      <c r="AZ24" s="4">
        <v>0.0</v>
      </c>
      <c r="BA24" s="4">
        <v>0.0</v>
      </c>
      <c r="BB24" s="4">
        <v>0.0</v>
      </c>
      <c r="BC24" s="4">
        <v>0.0</v>
      </c>
      <c r="BD24" s="4">
        <v>0.0</v>
      </c>
      <c r="BE24" s="4">
        <v>0.0</v>
      </c>
      <c r="BF24" s="4">
        <v>0.0</v>
      </c>
      <c r="BG24" s="4">
        <v>0.0</v>
      </c>
      <c r="BH24" s="4">
        <v>0.0</v>
      </c>
      <c r="BI24" s="4">
        <v>0.0</v>
      </c>
      <c r="BJ24" s="4">
        <v>0.0</v>
      </c>
      <c r="BK24" s="4">
        <v>0.0</v>
      </c>
      <c r="BL24" s="4">
        <v>0.0</v>
      </c>
    </row>
    <row r="25" ht="15.75" customHeight="1">
      <c r="A25" s="3"/>
      <c r="B25" s="3"/>
      <c r="C25" s="3"/>
      <c r="D25" s="3"/>
      <c r="E25" s="3" t="s">
        <v>79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ht="15.75" customHeight="1">
      <c r="A26" s="3"/>
      <c r="B26" s="3"/>
      <c r="C26" s="3"/>
      <c r="D26" s="3"/>
      <c r="E26" s="3"/>
      <c r="F26" s="3" t="s">
        <v>80</v>
      </c>
      <c r="G26" s="3"/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2750.0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0.0</v>
      </c>
      <c r="AO26" s="4">
        <v>0.0</v>
      </c>
      <c r="AP26" s="4">
        <v>0.0</v>
      </c>
      <c r="AQ26" s="4">
        <v>0.0</v>
      </c>
      <c r="AR26" s="4">
        <v>0.0</v>
      </c>
      <c r="AS26" s="4">
        <v>0.0</v>
      </c>
      <c r="AT26" s="4">
        <v>2577.5</v>
      </c>
      <c r="AU26" s="4">
        <v>0.0</v>
      </c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  <c r="BA26" s="4">
        <v>0.0</v>
      </c>
      <c r="BB26" s="4">
        <v>0.0</v>
      </c>
      <c r="BC26" s="4">
        <v>0.0</v>
      </c>
      <c r="BD26" s="4">
        <v>0.0</v>
      </c>
      <c r="BE26" s="4">
        <v>0.0</v>
      </c>
      <c r="BF26" s="4">
        <v>2500.0</v>
      </c>
      <c r="BG26" s="4">
        <v>0.0</v>
      </c>
      <c r="BH26" s="4">
        <v>0.0</v>
      </c>
      <c r="BI26" s="4">
        <v>0.0</v>
      </c>
      <c r="BJ26" s="4">
        <v>0.0</v>
      </c>
      <c r="BK26" s="4">
        <v>0.0</v>
      </c>
      <c r="BL26" s="4">
        <v>0.0</v>
      </c>
    </row>
    <row r="27" ht="15.75" customHeight="1">
      <c r="A27" s="3"/>
      <c r="B27" s="3"/>
      <c r="C27" s="3"/>
      <c r="D27" s="3"/>
      <c r="E27" s="3"/>
      <c r="F27" s="3" t="s">
        <v>81</v>
      </c>
      <c r="G27" s="3"/>
      <c r="H27" s="4">
        <v>201.35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70.0</v>
      </c>
      <c r="S27" s="4">
        <v>0.0</v>
      </c>
      <c r="T27" s="4">
        <v>191.76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0.0</v>
      </c>
      <c r="AD27" s="4">
        <v>-205.26</v>
      </c>
      <c r="AE27" s="4">
        <v>0.0</v>
      </c>
      <c r="AF27" s="4">
        <v>191.76</v>
      </c>
      <c r="AG27" s="4">
        <v>13.5</v>
      </c>
      <c r="AH27" s="4">
        <v>-938.91</v>
      </c>
      <c r="AI27" s="4">
        <v>13.69</v>
      </c>
      <c r="AJ27" s="4">
        <v>80.27</v>
      </c>
      <c r="AK27" s="4">
        <v>0.0</v>
      </c>
      <c r="AL27" s="4">
        <v>0.0</v>
      </c>
      <c r="AM27" s="4">
        <v>35.0</v>
      </c>
      <c r="AN27" s="4">
        <v>123.84</v>
      </c>
      <c r="AO27" s="4">
        <v>622.25</v>
      </c>
      <c r="AP27" s="4">
        <v>484.28</v>
      </c>
      <c r="AQ27" s="4">
        <v>0.0</v>
      </c>
      <c r="AR27" s="4">
        <v>828.94</v>
      </c>
      <c r="AS27" s="4">
        <v>0.0</v>
      </c>
      <c r="AT27" s="4">
        <v>412.81</v>
      </c>
      <c r="AU27" s="4">
        <v>323.17</v>
      </c>
      <c r="AV27" s="4">
        <v>507.33</v>
      </c>
      <c r="AW27" s="4">
        <v>30.0</v>
      </c>
      <c r="AX27" s="4">
        <v>422.12</v>
      </c>
      <c r="AY27" s="4">
        <v>474.8</v>
      </c>
      <c r="AZ27" s="4">
        <v>291.72</v>
      </c>
      <c r="BA27" s="4">
        <v>3116.37</v>
      </c>
      <c r="BB27" s="4">
        <v>68.11</v>
      </c>
      <c r="BC27" s="4">
        <v>44.72</v>
      </c>
      <c r="BD27" s="4">
        <v>134.43</v>
      </c>
      <c r="BE27" s="4">
        <v>3205.13</v>
      </c>
      <c r="BF27" s="4">
        <v>731.6</v>
      </c>
      <c r="BG27" s="4">
        <v>125.0</v>
      </c>
      <c r="BH27" s="4">
        <v>63.62</v>
      </c>
      <c r="BI27" s="4">
        <v>55.6</v>
      </c>
      <c r="BJ27" s="4">
        <v>61.38</v>
      </c>
      <c r="BK27" s="4">
        <v>117.05</v>
      </c>
      <c r="BL27" s="4">
        <v>301.89</v>
      </c>
    </row>
    <row r="28" ht="15.75" customHeight="1">
      <c r="A28" s="3"/>
      <c r="B28" s="3"/>
      <c r="C28" s="3"/>
      <c r="D28" s="3"/>
      <c r="E28" s="3"/>
      <c r="F28" s="3" t="s">
        <v>82</v>
      </c>
      <c r="G28" s="3"/>
      <c r="H28" s="4">
        <v>195.59</v>
      </c>
      <c r="I28" s="4">
        <v>185.32</v>
      </c>
      <c r="J28" s="4">
        <v>181.89</v>
      </c>
      <c r="K28" s="4">
        <v>184.89</v>
      </c>
      <c r="L28" s="4">
        <v>186.6</v>
      </c>
      <c r="M28" s="4">
        <v>185.34</v>
      </c>
      <c r="N28" s="4">
        <v>183.63</v>
      </c>
      <c r="O28" s="4">
        <v>181.91</v>
      </c>
      <c r="P28" s="4">
        <v>182.77</v>
      </c>
      <c r="Q28" s="4">
        <v>181.91</v>
      </c>
      <c r="R28" s="4">
        <v>181.91</v>
      </c>
      <c r="S28" s="4">
        <v>181.91</v>
      </c>
      <c r="T28" s="4">
        <v>251.23</v>
      </c>
      <c r="U28" s="4">
        <v>165.85</v>
      </c>
      <c r="V28" s="4">
        <v>165.85</v>
      </c>
      <c r="W28" s="4">
        <v>165.85</v>
      </c>
      <c r="X28" s="4">
        <v>167.56</v>
      </c>
      <c r="Y28" s="4">
        <v>335.98</v>
      </c>
      <c r="Z28" s="4">
        <v>0.0</v>
      </c>
      <c r="AA28" s="4">
        <v>166.71</v>
      </c>
      <c r="AB28" s="4">
        <v>333.41</v>
      </c>
      <c r="AC28" s="4">
        <v>170.13</v>
      </c>
      <c r="AD28" s="4">
        <v>165.85</v>
      </c>
      <c r="AE28" s="4">
        <v>0.0</v>
      </c>
      <c r="AF28" s="4">
        <v>165.85</v>
      </c>
      <c r="AG28" s="4">
        <v>165.85</v>
      </c>
      <c r="AH28" s="4">
        <v>163.96</v>
      </c>
      <c r="AI28" s="4">
        <v>165.85</v>
      </c>
      <c r="AJ28" s="4">
        <v>165.85</v>
      </c>
      <c r="AK28" s="4">
        <v>157.72</v>
      </c>
      <c r="AL28" s="4">
        <v>453.68</v>
      </c>
      <c r="AM28" s="4">
        <v>186.18</v>
      </c>
      <c r="AN28" s="4">
        <v>186.18</v>
      </c>
      <c r="AO28" s="4">
        <v>212.29</v>
      </c>
      <c r="AP28" s="4">
        <v>186.61</v>
      </c>
      <c r="AQ28" s="4">
        <v>175.56</v>
      </c>
      <c r="AR28" s="4">
        <v>574.21</v>
      </c>
      <c r="AS28" s="4">
        <v>218.28</v>
      </c>
      <c r="AT28" s="4">
        <v>250.38</v>
      </c>
      <c r="AU28" s="4">
        <v>271.25</v>
      </c>
      <c r="AV28" s="4">
        <v>170.13</v>
      </c>
      <c r="AW28" s="4">
        <v>204.8</v>
      </c>
      <c r="AX28" s="4">
        <v>170.13</v>
      </c>
      <c r="AY28" s="4">
        <v>194.95</v>
      </c>
      <c r="AZ28" s="4">
        <v>170.99</v>
      </c>
      <c r="BA28" s="4">
        <v>234.65</v>
      </c>
      <c r="BB28" s="4">
        <v>385.41</v>
      </c>
      <c r="BC28" s="4">
        <v>2.73</v>
      </c>
      <c r="BD28" s="4">
        <v>297.46</v>
      </c>
      <c r="BE28" s="4">
        <v>209.1</v>
      </c>
      <c r="BF28" s="4">
        <v>170.23</v>
      </c>
      <c r="BG28" s="4">
        <v>178.69</v>
      </c>
      <c r="BH28" s="4">
        <v>403.12</v>
      </c>
      <c r="BI28" s="4">
        <v>161.75</v>
      </c>
      <c r="BJ28" s="4">
        <v>197.95</v>
      </c>
      <c r="BK28" s="4">
        <v>160.5</v>
      </c>
      <c r="BL28" s="4">
        <v>160.5</v>
      </c>
    </row>
    <row r="29" ht="15.75" customHeight="1">
      <c r="A29" s="3"/>
      <c r="B29" s="3"/>
      <c r="C29" s="3"/>
      <c r="D29" s="3"/>
      <c r="E29" s="3"/>
      <c r="F29" s="3" t="s">
        <v>83</v>
      </c>
      <c r="G29" s="3"/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0.0</v>
      </c>
      <c r="AK29" s="4">
        <v>0.0</v>
      </c>
      <c r="AL29" s="4">
        <v>0.0</v>
      </c>
      <c r="AM29" s="4">
        <v>0.0</v>
      </c>
      <c r="AN29" s="4">
        <v>0.0</v>
      </c>
      <c r="AO29" s="4">
        <v>0.0</v>
      </c>
      <c r="AP29" s="4">
        <v>0.0</v>
      </c>
      <c r="AQ29" s="4">
        <v>0.0</v>
      </c>
      <c r="AR29" s="4">
        <v>0.0</v>
      </c>
      <c r="AS29" s="4">
        <v>0.0</v>
      </c>
      <c r="AT29" s="4">
        <v>0.0</v>
      </c>
      <c r="AU29" s="4">
        <v>0.0</v>
      </c>
      <c r="AV29" s="4">
        <v>0.0</v>
      </c>
      <c r="AW29" s="4">
        <v>0.0</v>
      </c>
      <c r="AX29" s="4">
        <v>0.0</v>
      </c>
      <c r="AY29" s="4">
        <v>43.75</v>
      </c>
      <c r="AZ29" s="4">
        <v>0.0</v>
      </c>
      <c r="BA29" s="4">
        <v>0.0</v>
      </c>
      <c r="BB29" s="4">
        <v>0.0</v>
      </c>
      <c r="BC29" s="4">
        <v>0.0</v>
      </c>
      <c r="BD29" s="4">
        <v>0.0</v>
      </c>
      <c r="BE29" s="4">
        <v>0.0</v>
      </c>
      <c r="BF29" s="4">
        <v>0.0</v>
      </c>
      <c r="BG29" s="4">
        <v>0.0</v>
      </c>
      <c r="BH29" s="4">
        <v>0.0</v>
      </c>
      <c r="BI29" s="4">
        <v>0.0</v>
      </c>
      <c r="BJ29" s="4">
        <v>0.0</v>
      </c>
      <c r="BK29" s="4">
        <v>0.0</v>
      </c>
      <c r="BL29" s="4">
        <v>0.0</v>
      </c>
    </row>
    <row r="30" ht="15.75" customHeight="1">
      <c r="A30" s="3"/>
      <c r="B30" s="3"/>
      <c r="C30" s="3"/>
      <c r="D30" s="3"/>
      <c r="E30" s="3"/>
      <c r="F30" s="3" t="s">
        <v>84</v>
      </c>
      <c r="G30" s="3"/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0.0</v>
      </c>
      <c r="AO30" s="4">
        <v>0.0</v>
      </c>
      <c r="AP30" s="4">
        <v>0.0</v>
      </c>
      <c r="AQ30" s="4">
        <v>0.0</v>
      </c>
      <c r="AR30" s="4">
        <v>0.0</v>
      </c>
      <c r="AS30" s="4">
        <v>0.0</v>
      </c>
      <c r="AT30" s="4">
        <v>0.0</v>
      </c>
      <c r="AU30" s="4">
        <v>0.0</v>
      </c>
      <c r="AV30" s="4">
        <v>0.0</v>
      </c>
      <c r="AW30" s="4">
        <v>0.0</v>
      </c>
      <c r="AX30" s="4">
        <v>0.0</v>
      </c>
      <c r="AY30" s="4">
        <v>0.0</v>
      </c>
      <c r="AZ30" s="4">
        <v>0.0</v>
      </c>
      <c r="BA30" s="4">
        <v>0.0</v>
      </c>
      <c r="BB30" s="4">
        <v>0.0</v>
      </c>
      <c r="BC30" s="4">
        <v>0.0</v>
      </c>
      <c r="BD30" s="4">
        <v>0.0</v>
      </c>
      <c r="BE30" s="4">
        <v>0.0</v>
      </c>
      <c r="BF30" s="4">
        <v>0.0</v>
      </c>
      <c r="BG30" s="4">
        <v>0.0</v>
      </c>
      <c r="BH30" s="4">
        <v>179.0</v>
      </c>
      <c r="BI30" s="4">
        <v>358.0</v>
      </c>
      <c r="BJ30" s="4">
        <v>0.0</v>
      </c>
      <c r="BK30" s="4">
        <v>179.0</v>
      </c>
      <c r="BL30" s="4">
        <v>358.0</v>
      </c>
    </row>
    <row r="31" ht="15.75" customHeight="1">
      <c r="A31" s="3"/>
      <c r="B31" s="3"/>
      <c r="C31" s="3"/>
      <c r="D31" s="3"/>
      <c r="E31" s="3"/>
      <c r="F31" s="3" t="s">
        <v>85</v>
      </c>
      <c r="G31" s="3"/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10531.0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0.0</v>
      </c>
      <c r="AH31" s="4">
        <v>15573.07</v>
      </c>
      <c r="AI31" s="4">
        <v>0.0</v>
      </c>
      <c r="AJ31" s="4">
        <v>0.0</v>
      </c>
      <c r="AK31" s="4">
        <v>0.0</v>
      </c>
      <c r="AL31" s="4">
        <v>0.0</v>
      </c>
      <c r="AM31" s="4">
        <v>0.0</v>
      </c>
      <c r="AN31" s="4">
        <v>0.0</v>
      </c>
      <c r="AO31" s="4">
        <v>0.0</v>
      </c>
      <c r="AP31" s="4">
        <v>0.0</v>
      </c>
      <c r="AQ31" s="4">
        <v>0.0</v>
      </c>
      <c r="AR31" s="4">
        <v>0.0</v>
      </c>
      <c r="AS31" s="4">
        <v>0.0</v>
      </c>
      <c r="AT31" s="4">
        <v>16423.01</v>
      </c>
      <c r="AU31" s="4">
        <v>0.0</v>
      </c>
      <c r="AV31" s="4">
        <v>0.0</v>
      </c>
      <c r="AW31" s="4">
        <v>0.0</v>
      </c>
      <c r="AX31" s="4">
        <v>0.0</v>
      </c>
      <c r="AY31" s="4">
        <v>0.0</v>
      </c>
      <c r="AZ31" s="4">
        <v>0.0</v>
      </c>
      <c r="BA31" s="4">
        <v>0.0</v>
      </c>
      <c r="BB31" s="4">
        <v>0.0</v>
      </c>
      <c r="BC31" s="4">
        <v>0.0</v>
      </c>
      <c r="BD31" s="4">
        <v>0.0</v>
      </c>
      <c r="BE31" s="4">
        <v>0.0</v>
      </c>
      <c r="BF31" s="4">
        <v>16741.39</v>
      </c>
      <c r="BG31" s="4">
        <v>0.0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</row>
    <row r="32" ht="15.75" customHeight="1">
      <c r="A32" s="3"/>
      <c r="B32" s="3"/>
      <c r="C32" s="3"/>
      <c r="D32" s="3"/>
      <c r="E32" s="3"/>
      <c r="F32" s="3" t="s">
        <v>86</v>
      </c>
      <c r="G32" s="3"/>
      <c r="H32" s="4">
        <v>97.08</v>
      </c>
      <c r="I32" s="4">
        <v>97.08</v>
      </c>
      <c r="J32" s="4">
        <v>357.08</v>
      </c>
      <c r="K32" s="4">
        <v>97.08</v>
      </c>
      <c r="L32" s="4">
        <v>1929.5</v>
      </c>
      <c r="M32" s="4">
        <v>356.37</v>
      </c>
      <c r="N32" s="4">
        <v>238.32</v>
      </c>
      <c r="O32" s="4">
        <v>97.08</v>
      </c>
      <c r="P32" s="4">
        <v>181.61</v>
      </c>
      <c r="Q32" s="4">
        <v>457.08</v>
      </c>
      <c r="R32" s="4">
        <v>97.08</v>
      </c>
      <c r="S32" s="4">
        <v>97.08</v>
      </c>
      <c r="T32" s="4">
        <v>97.08</v>
      </c>
      <c r="U32" s="4">
        <v>97.08</v>
      </c>
      <c r="V32" s="4">
        <v>-1036.27</v>
      </c>
      <c r="W32" s="4">
        <v>80.33</v>
      </c>
      <c r="X32" s="4">
        <v>1949.13</v>
      </c>
      <c r="Y32" s="4">
        <v>147.32</v>
      </c>
      <c r="Z32" s="4">
        <v>436.27</v>
      </c>
      <c r="AA32" s="4">
        <v>75.65</v>
      </c>
      <c r="AB32" s="4">
        <v>435.65</v>
      </c>
      <c r="AC32" s="4">
        <v>125.74</v>
      </c>
      <c r="AD32" s="4">
        <v>267.41</v>
      </c>
      <c r="AE32" s="4">
        <v>275.63</v>
      </c>
      <c r="AF32" s="4">
        <v>75.66</v>
      </c>
      <c r="AG32" s="4">
        <v>74.91</v>
      </c>
      <c r="AH32" s="4">
        <v>3167.59</v>
      </c>
      <c r="AI32" s="4">
        <v>9.99</v>
      </c>
      <c r="AJ32" s="4">
        <v>9.99</v>
      </c>
      <c r="AK32" s="4">
        <v>9.99</v>
      </c>
      <c r="AL32" s="4">
        <v>151.23</v>
      </c>
      <c r="AM32" s="4">
        <v>9.99</v>
      </c>
      <c r="AN32" s="4">
        <v>761.74</v>
      </c>
      <c r="AO32" s="4">
        <v>-1087.84</v>
      </c>
      <c r="AP32" s="4">
        <v>2729.75</v>
      </c>
      <c r="AQ32" s="4">
        <v>9.99</v>
      </c>
      <c r="AR32" s="4">
        <v>9.99</v>
      </c>
      <c r="AS32" s="4">
        <v>9.99</v>
      </c>
      <c r="AT32" s="4">
        <v>620.99</v>
      </c>
      <c r="AU32" s="4">
        <v>2157.15</v>
      </c>
      <c r="AV32" s="4">
        <v>9.99</v>
      </c>
      <c r="AW32" s="4">
        <v>9.99</v>
      </c>
      <c r="AX32" s="4">
        <v>144.81</v>
      </c>
      <c r="AY32" s="4">
        <v>9.99</v>
      </c>
      <c r="AZ32" s="4">
        <v>765.22</v>
      </c>
      <c r="BA32" s="4">
        <v>694.3</v>
      </c>
      <c r="BB32" s="4">
        <v>1778.7</v>
      </c>
      <c r="BC32" s="4">
        <v>102.0</v>
      </c>
      <c r="BD32" s="4">
        <v>101.3</v>
      </c>
      <c r="BE32" s="4">
        <v>100.87</v>
      </c>
      <c r="BF32" s="4">
        <v>990.33</v>
      </c>
      <c r="BG32" s="4">
        <v>2144.84</v>
      </c>
      <c r="BH32" s="4">
        <v>9.99</v>
      </c>
      <c r="BI32" s="4">
        <v>9.99</v>
      </c>
      <c r="BJ32" s="4">
        <v>144.81</v>
      </c>
      <c r="BK32" s="4">
        <v>9.99</v>
      </c>
      <c r="BL32" s="4">
        <v>488.04</v>
      </c>
    </row>
    <row r="33" ht="15.75" customHeight="1">
      <c r="A33" s="3"/>
      <c r="B33" s="3"/>
      <c r="C33" s="3"/>
      <c r="D33" s="3"/>
      <c r="E33" s="3"/>
      <c r="F33" s="3" t="s">
        <v>87</v>
      </c>
      <c r="G33" s="3"/>
      <c r="H33" s="4">
        <v>0.0</v>
      </c>
      <c r="I33" s="4">
        <v>0.0</v>
      </c>
      <c r="J33" s="4">
        <v>100.0</v>
      </c>
      <c r="K33" s="4">
        <v>36.77</v>
      </c>
      <c r="L33" s="4">
        <v>1705.0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44.79</v>
      </c>
      <c r="T33" s="4">
        <v>0.0</v>
      </c>
      <c r="U33" s="4">
        <v>98.76</v>
      </c>
      <c r="V33" s="4">
        <v>0.0</v>
      </c>
      <c r="W33" s="4">
        <v>0.0</v>
      </c>
      <c r="X33" s="4">
        <v>0.0</v>
      </c>
      <c r="Y33" s="4">
        <v>2043.87</v>
      </c>
      <c r="Z33" s="4">
        <v>22.44</v>
      </c>
      <c r="AA33" s="4">
        <v>52.25</v>
      </c>
      <c r="AB33" s="4">
        <v>90.69</v>
      </c>
      <c r="AC33" s="4">
        <v>0.0</v>
      </c>
      <c r="AD33" s="4">
        <v>0.0</v>
      </c>
      <c r="AE33" s="4">
        <v>13.69</v>
      </c>
      <c r="AF33" s="4">
        <v>0.0</v>
      </c>
      <c r="AG33" s="4">
        <v>0.0</v>
      </c>
      <c r="AH33" s="4">
        <v>0.0</v>
      </c>
      <c r="AI33" s="4">
        <v>0.0</v>
      </c>
      <c r="AJ33" s="4">
        <v>680.41</v>
      </c>
      <c r="AK33" s="4">
        <v>1219.06</v>
      </c>
      <c r="AL33" s="4">
        <v>0.0</v>
      </c>
      <c r="AM33" s="4">
        <v>0.0</v>
      </c>
      <c r="AN33" s="4">
        <v>0.0</v>
      </c>
      <c r="AO33" s="4">
        <v>0.0</v>
      </c>
      <c r="AP33" s="4">
        <v>0.0</v>
      </c>
      <c r="AQ33" s="4">
        <v>0.0</v>
      </c>
      <c r="AR33" s="4">
        <v>0.0</v>
      </c>
      <c r="AS33" s="4">
        <v>0.0</v>
      </c>
      <c r="AT33" s="4">
        <v>0.0</v>
      </c>
      <c r="AU33" s="4">
        <v>0.0</v>
      </c>
      <c r="AV33" s="4">
        <v>0.0</v>
      </c>
      <c r="AW33" s="4">
        <v>4874.77</v>
      </c>
      <c r="AX33" s="4">
        <v>571.57</v>
      </c>
      <c r="AY33" s="4">
        <v>96.19</v>
      </c>
      <c r="AZ33" s="4">
        <v>0.0</v>
      </c>
      <c r="BA33" s="4">
        <v>156.12</v>
      </c>
      <c r="BB33" s="4">
        <v>0.0</v>
      </c>
      <c r="BC33" s="4">
        <v>79.42</v>
      </c>
      <c r="BD33" s="4">
        <v>605.71</v>
      </c>
      <c r="BE33" s="4">
        <v>0.0</v>
      </c>
      <c r="BF33" s="4">
        <v>2.54</v>
      </c>
      <c r="BG33" s="4">
        <v>19.94</v>
      </c>
      <c r="BH33" s="4">
        <v>683.12</v>
      </c>
      <c r="BI33" s="4">
        <v>718.75</v>
      </c>
      <c r="BJ33" s="4">
        <v>101.25</v>
      </c>
      <c r="BK33" s="4">
        <v>467.0</v>
      </c>
      <c r="BL33" s="4">
        <v>0.0</v>
      </c>
    </row>
    <row r="34" ht="15.75" customHeight="1">
      <c r="A34" s="3"/>
      <c r="B34" s="3"/>
      <c r="C34" s="3"/>
      <c r="D34" s="3"/>
      <c r="E34" s="3"/>
      <c r="F34" s="3" t="s">
        <v>88</v>
      </c>
      <c r="G34" s="3"/>
      <c r="H34" s="4">
        <v>444.0</v>
      </c>
      <c r="I34" s="4">
        <v>0.0</v>
      </c>
      <c r="J34" s="4">
        <v>0.0</v>
      </c>
      <c r="K34" s="4">
        <v>0.0</v>
      </c>
      <c r="L34" s="4">
        <v>2298.0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-8.35</v>
      </c>
      <c r="W34" s="4">
        <v>0.0</v>
      </c>
      <c r="X34" s="4">
        <v>2188.0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-152.0</v>
      </c>
      <c r="AE34" s="4">
        <v>0.0</v>
      </c>
      <c r="AF34" s="4">
        <v>0.0</v>
      </c>
      <c r="AG34" s="4">
        <v>-355.0</v>
      </c>
      <c r="AH34" s="4">
        <v>-1826.94</v>
      </c>
      <c r="AI34" s="4">
        <v>0.0</v>
      </c>
      <c r="AJ34" s="4">
        <v>2411.58</v>
      </c>
      <c r="AK34" s="4">
        <v>199.53</v>
      </c>
      <c r="AL34" s="4">
        <v>173.34</v>
      </c>
      <c r="AM34" s="4">
        <v>673.34</v>
      </c>
      <c r="AN34" s="4">
        <v>173.34</v>
      </c>
      <c r="AO34" s="4">
        <v>173.34</v>
      </c>
      <c r="AP34" s="4">
        <v>173.34</v>
      </c>
      <c r="AQ34" s="4">
        <v>173.34</v>
      </c>
      <c r="AR34" s="4">
        <v>173.34</v>
      </c>
      <c r="AS34" s="4">
        <v>173.34</v>
      </c>
      <c r="AT34" s="4">
        <v>173.34</v>
      </c>
      <c r="AU34" s="4">
        <v>173.34</v>
      </c>
      <c r="AV34" s="4">
        <v>173.34</v>
      </c>
      <c r="AW34" s="4">
        <v>172.89</v>
      </c>
      <c r="AX34" s="4">
        <v>172.89</v>
      </c>
      <c r="AY34" s="4">
        <v>172.89</v>
      </c>
      <c r="AZ34" s="4">
        <v>172.89</v>
      </c>
      <c r="BA34" s="4">
        <v>172.89</v>
      </c>
      <c r="BB34" s="4">
        <v>172.89</v>
      </c>
      <c r="BC34" s="4">
        <v>172.89</v>
      </c>
      <c r="BD34" s="4">
        <v>172.89</v>
      </c>
      <c r="BE34" s="4">
        <v>172.89</v>
      </c>
      <c r="BF34" s="4">
        <v>172.89</v>
      </c>
      <c r="BG34" s="4">
        <v>172.89</v>
      </c>
      <c r="BH34" s="4">
        <v>172.89</v>
      </c>
      <c r="BI34" s="4">
        <v>151.33</v>
      </c>
      <c r="BJ34" s="4">
        <v>151.33</v>
      </c>
      <c r="BK34" s="4">
        <v>159.97</v>
      </c>
      <c r="BL34" s="4">
        <v>159.97</v>
      </c>
    </row>
    <row r="35" ht="15.75" customHeight="1">
      <c r="A35" s="3"/>
      <c r="B35" s="3"/>
      <c r="C35" s="3"/>
      <c r="D35" s="3"/>
      <c r="E35" s="3"/>
      <c r="F35" s="3" t="s">
        <v>89</v>
      </c>
      <c r="G35" s="3"/>
      <c r="H35" s="4">
        <v>135.67</v>
      </c>
      <c r="I35" s="4">
        <v>0.0</v>
      </c>
      <c r="J35" s="4">
        <v>66.99</v>
      </c>
      <c r="K35" s="4">
        <v>70.5</v>
      </c>
      <c r="L35" s="4">
        <v>83.0</v>
      </c>
      <c r="M35" s="4">
        <v>77.08</v>
      </c>
      <c r="N35" s="4">
        <v>82.29</v>
      </c>
      <c r="O35" s="4">
        <v>82.29</v>
      </c>
      <c r="P35" s="4">
        <v>84.78</v>
      </c>
      <c r="Q35" s="4">
        <v>92.3</v>
      </c>
      <c r="R35" s="4">
        <v>181.03</v>
      </c>
      <c r="S35" s="4">
        <v>0.0</v>
      </c>
      <c r="T35" s="4">
        <v>100.49</v>
      </c>
      <c r="U35" s="4">
        <v>99.53</v>
      </c>
      <c r="V35" s="4">
        <v>92.16</v>
      </c>
      <c r="W35" s="4">
        <v>105.87</v>
      </c>
      <c r="X35" s="4">
        <v>106.75</v>
      </c>
      <c r="Y35" s="4">
        <v>101.99</v>
      </c>
      <c r="Z35" s="4">
        <v>115.01</v>
      </c>
      <c r="AA35" s="4">
        <v>110.7</v>
      </c>
      <c r="AB35" s="4">
        <v>108.86</v>
      </c>
      <c r="AC35" s="4">
        <v>126.44</v>
      </c>
      <c r="AD35" s="4">
        <v>118.06</v>
      </c>
      <c r="AE35" s="4">
        <v>124.3</v>
      </c>
      <c r="AF35" s="4">
        <v>123.41</v>
      </c>
      <c r="AG35" s="4">
        <v>231.28</v>
      </c>
      <c r="AH35" s="4">
        <v>109.28</v>
      </c>
      <c r="AI35" s="4">
        <v>0.0</v>
      </c>
      <c r="AJ35" s="4">
        <v>100.76</v>
      </c>
      <c r="AK35" s="4">
        <v>174.88</v>
      </c>
      <c r="AL35" s="4">
        <v>-37.6</v>
      </c>
      <c r="AM35" s="4">
        <v>973.84</v>
      </c>
      <c r="AN35" s="4">
        <v>241.97</v>
      </c>
      <c r="AO35" s="4">
        <v>246.37</v>
      </c>
      <c r="AP35" s="4">
        <v>242.7</v>
      </c>
      <c r="AQ35" s="4">
        <v>255.2</v>
      </c>
      <c r="AR35" s="4">
        <v>251.24</v>
      </c>
      <c r="AS35" s="4">
        <v>264.03</v>
      </c>
      <c r="AT35" s="4">
        <v>33.84</v>
      </c>
      <c r="AU35" s="4">
        <v>272.85</v>
      </c>
      <c r="AV35" s="4">
        <v>277.26</v>
      </c>
      <c r="AW35" s="4">
        <v>272.59</v>
      </c>
      <c r="AX35" s="4">
        <v>285.57</v>
      </c>
      <c r="AY35" s="4">
        <v>273.36</v>
      </c>
      <c r="AZ35" s="4">
        <v>286.76</v>
      </c>
      <c r="BA35" s="4">
        <v>291.05</v>
      </c>
      <c r="BB35" s="4">
        <v>489.29</v>
      </c>
      <c r="BC35" s="4">
        <v>291.12</v>
      </c>
      <c r="BD35" s="4">
        <v>285.76</v>
      </c>
      <c r="BE35" s="4">
        <v>299.45</v>
      </c>
      <c r="BF35" s="4">
        <v>274.25</v>
      </c>
      <c r="BG35" s="4">
        <v>309.26</v>
      </c>
      <c r="BH35" s="4">
        <v>302.84</v>
      </c>
      <c r="BI35" s="4">
        <v>296.98</v>
      </c>
      <c r="BJ35" s="4">
        <v>310.93</v>
      </c>
      <c r="BK35" s="4">
        <v>304.82</v>
      </c>
      <c r="BL35" s="4">
        <v>314.37</v>
      </c>
    </row>
    <row r="36" ht="15.75" customHeight="1">
      <c r="A36" s="3"/>
      <c r="B36" s="3"/>
      <c r="C36" s="3"/>
      <c r="D36" s="3"/>
      <c r="E36" s="3"/>
      <c r="F36" s="3" t="s">
        <v>90</v>
      </c>
      <c r="G36" s="3"/>
      <c r="H36" s="4">
        <v>0.0</v>
      </c>
      <c r="I36" s="4">
        <v>365.89</v>
      </c>
      <c r="J36" s="4">
        <v>0.0</v>
      </c>
      <c r="K36" s="4">
        <v>0.0</v>
      </c>
      <c r="L36" s="4">
        <v>117.0</v>
      </c>
      <c r="M36" s="4">
        <v>0.0</v>
      </c>
      <c r="N36" s="4">
        <v>0.0</v>
      </c>
      <c r="O36" s="4">
        <v>0.0</v>
      </c>
      <c r="P36" s="4">
        <v>2172.1</v>
      </c>
      <c r="Q36" s="4">
        <v>0.0</v>
      </c>
      <c r="R36" s="4">
        <v>0.0</v>
      </c>
      <c r="S36" s="4">
        <v>4344.2</v>
      </c>
      <c r="T36" s="4">
        <v>0.0</v>
      </c>
      <c r="U36" s="4">
        <v>2247.0</v>
      </c>
      <c r="V36" s="4">
        <v>2623.59</v>
      </c>
      <c r="W36" s="4">
        <v>0.0</v>
      </c>
      <c r="X36" s="4">
        <v>1877.85</v>
      </c>
      <c r="Y36" s="4">
        <v>2953.4</v>
      </c>
      <c r="Z36" s="4">
        <v>5484.23</v>
      </c>
      <c r="AA36" s="4">
        <v>2325.18</v>
      </c>
      <c r="AB36" s="4">
        <v>3160.5</v>
      </c>
      <c r="AC36" s="4">
        <v>0.0</v>
      </c>
      <c r="AD36" s="4">
        <v>0.0</v>
      </c>
      <c r="AE36" s="4">
        <v>0.0</v>
      </c>
      <c r="AF36" s="4">
        <v>0.0</v>
      </c>
      <c r="AG36" s="4">
        <v>380.25</v>
      </c>
      <c r="AH36" s="4">
        <v>0.0</v>
      </c>
      <c r="AI36" s="4">
        <v>0.0</v>
      </c>
      <c r="AJ36" s="4">
        <v>554.61</v>
      </c>
      <c r="AK36" s="4">
        <v>0.0</v>
      </c>
      <c r="AL36" s="4">
        <v>0.0</v>
      </c>
      <c r="AM36" s="4">
        <v>0.0</v>
      </c>
      <c r="AN36" s="4">
        <v>0.0</v>
      </c>
      <c r="AO36" s="4">
        <v>64.2</v>
      </c>
      <c r="AP36" s="4">
        <v>0.0</v>
      </c>
      <c r="AQ36" s="4">
        <v>363.8</v>
      </c>
      <c r="AR36" s="4">
        <v>0.0</v>
      </c>
      <c r="AS36" s="4">
        <v>0.0</v>
      </c>
      <c r="AT36" s="4">
        <v>387.29</v>
      </c>
      <c r="AU36" s="4">
        <v>0.0</v>
      </c>
      <c r="AV36" s="4">
        <v>0.0</v>
      </c>
      <c r="AW36" s="4">
        <v>0.0</v>
      </c>
      <c r="AX36" s="4">
        <v>0.0</v>
      </c>
      <c r="AY36" s="4">
        <v>0.0</v>
      </c>
      <c r="AZ36" s="4">
        <v>0.0</v>
      </c>
      <c r="BA36" s="4">
        <v>0.0</v>
      </c>
      <c r="BB36" s="4">
        <v>0.0</v>
      </c>
      <c r="BC36" s="4">
        <v>0.0</v>
      </c>
      <c r="BD36" s="4">
        <v>0.0</v>
      </c>
      <c r="BE36" s="4">
        <v>0.0</v>
      </c>
      <c r="BF36" s="4">
        <v>387.29</v>
      </c>
      <c r="BG36" s="4">
        <v>0.0</v>
      </c>
      <c r="BH36" s="4">
        <v>0.0</v>
      </c>
      <c r="BI36" s="4">
        <v>0.0</v>
      </c>
      <c r="BJ36" s="4">
        <v>0.0</v>
      </c>
      <c r="BK36" s="4">
        <v>535.0</v>
      </c>
      <c r="BL36" s="4">
        <v>0.0</v>
      </c>
    </row>
    <row r="37" ht="15.75" customHeight="1">
      <c r="A37" s="3"/>
      <c r="B37" s="3"/>
      <c r="C37" s="3"/>
      <c r="D37" s="3"/>
      <c r="E37" s="3"/>
      <c r="F37" s="3" t="s">
        <v>91</v>
      </c>
      <c r="G37" s="3"/>
      <c r="H37" s="4">
        <v>0.0</v>
      </c>
      <c r="I37" s="4">
        <v>37.43</v>
      </c>
      <c r="J37" s="4">
        <v>48.17</v>
      </c>
      <c r="K37" s="4">
        <v>60.44</v>
      </c>
      <c r="L37" s="4">
        <v>0.0</v>
      </c>
      <c r="M37" s="4">
        <v>0.0</v>
      </c>
      <c r="N37" s="4">
        <v>35.76</v>
      </c>
      <c r="O37" s="4">
        <v>0.0</v>
      </c>
      <c r="P37" s="4">
        <v>0.0</v>
      </c>
      <c r="Q37" s="4">
        <v>0.0</v>
      </c>
      <c r="R37" s="4">
        <v>9.92</v>
      </c>
      <c r="S37" s="4">
        <v>0.0</v>
      </c>
      <c r="T37" s="4">
        <v>75.07</v>
      </c>
      <c r="U37" s="4">
        <v>0.0</v>
      </c>
      <c r="V37" s="4">
        <v>1.86</v>
      </c>
      <c r="W37" s="4">
        <v>0.0</v>
      </c>
      <c r="X37" s="4">
        <v>26.06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4">
        <v>159.92</v>
      </c>
      <c r="AI37" s="4">
        <v>0.0</v>
      </c>
      <c r="AJ37" s="4">
        <v>63.18</v>
      </c>
      <c r="AK37" s="4">
        <v>1538.88</v>
      </c>
      <c r="AL37" s="4">
        <v>168.0</v>
      </c>
      <c r="AM37" s="4">
        <v>50.37</v>
      </c>
      <c r="AN37" s="4">
        <v>114.97</v>
      </c>
      <c r="AO37" s="4">
        <v>74.59</v>
      </c>
      <c r="AP37" s="4">
        <v>201.67</v>
      </c>
      <c r="AQ37" s="4">
        <v>358.78</v>
      </c>
      <c r="AR37" s="4">
        <v>143.08</v>
      </c>
      <c r="AS37" s="4">
        <v>204.72</v>
      </c>
      <c r="AT37" s="4">
        <v>156.38</v>
      </c>
      <c r="AU37" s="4">
        <v>202.25</v>
      </c>
      <c r="AV37" s="4">
        <v>110.77</v>
      </c>
      <c r="AW37" s="4">
        <v>917.09</v>
      </c>
      <c r="AX37" s="4">
        <v>222.08</v>
      </c>
      <c r="AY37" s="4">
        <v>63.75</v>
      </c>
      <c r="AZ37" s="4">
        <v>172.22</v>
      </c>
      <c r="BA37" s="4">
        <v>44.84</v>
      </c>
      <c r="BB37" s="4">
        <v>170.65</v>
      </c>
      <c r="BC37" s="4">
        <v>148.95</v>
      </c>
      <c r="BD37" s="4">
        <v>99.09</v>
      </c>
      <c r="BE37" s="4">
        <v>51.84</v>
      </c>
      <c r="BF37" s="4">
        <v>217.04</v>
      </c>
      <c r="BG37" s="4">
        <v>0.0</v>
      </c>
      <c r="BH37" s="4">
        <v>-453.71</v>
      </c>
      <c r="BI37" s="4">
        <v>501.81</v>
      </c>
      <c r="BJ37" s="4">
        <v>40.89</v>
      </c>
      <c r="BK37" s="4">
        <v>0.0</v>
      </c>
      <c r="BL37" s="4">
        <v>262.19</v>
      </c>
    </row>
    <row r="38" ht="15.75" customHeight="1">
      <c r="A38" s="3"/>
      <c r="B38" s="3"/>
      <c r="C38" s="3"/>
      <c r="D38" s="3"/>
      <c r="E38" s="3"/>
      <c r="F38" s="3" t="s">
        <v>92</v>
      </c>
      <c r="G38" s="3"/>
      <c r="H38" s="4">
        <v>0.0</v>
      </c>
      <c r="I38" s="4">
        <v>192.99</v>
      </c>
      <c r="J38" s="4">
        <v>29.91</v>
      </c>
      <c r="K38" s="4">
        <v>40.13</v>
      </c>
      <c r="L38" s="4">
        <v>72.91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40.32</v>
      </c>
      <c r="S38" s="4">
        <v>0.0</v>
      </c>
      <c r="T38" s="4">
        <v>54.41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28.88</v>
      </c>
      <c r="AC38" s="4">
        <v>0.0</v>
      </c>
      <c r="AD38" s="4">
        <v>-449.71</v>
      </c>
      <c r="AE38" s="4">
        <v>0.0</v>
      </c>
      <c r="AF38" s="4">
        <v>529.12</v>
      </c>
      <c r="AG38" s="4">
        <v>0.0</v>
      </c>
      <c r="AH38" s="4">
        <v>-3281.37</v>
      </c>
      <c r="AI38" s="4">
        <v>267.78</v>
      </c>
      <c r="AJ38" s="4">
        <v>683.28</v>
      </c>
      <c r="AK38" s="4">
        <v>252.5</v>
      </c>
      <c r="AL38" s="4">
        <v>366.06</v>
      </c>
      <c r="AM38" s="4">
        <v>762.51</v>
      </c>
      <c r="AN38" s="4">
        <v>709.99</v>
      </c>
      <c r="AO38" s="4">
        <v>261.48</v>
      </c>
      <c r="AP38" s="4">
        <v>60.08</v>
      </c>
      <c r="AQ38" s="4">
        <v>103.97</v>
      </c>
      <c r="AR38" s="4">
        <v>636.45</v>
      </c>
      <c r="AS38" s="4">
        <v>134.32</v>
      </c>
      <c r="AT38" s="4">
        <v>3582.57</v>
      </c>
      <c r="AU38" s="4">
        <v>121.52</v>
      </c>
      <c r="AV38" s="4">
        <v>305.76</v>
      </c>
      <c r="AW38" s="4">
        <v>251.53</v>
      </c>
      <c r="AX38" s="4">
        <v>497.23</v>
      </c>
      <c r="AY38" s="4">
        <v>311.6</v>
      </c>
      <c r="AZ38" s="4">
        <v>339.21</v>
      </c>
      <c r="BA38" s="4">
        <v>104.92</v>
      </c>
      <c r="BB38" s="4">
        <v>69.09</v>
      </c>
      <c r="BC38" s="4">
        <v>330.53</v>
      </c>
      <c r="BD38" s="4">
        <v>107.0</v>
      </c>
      <c r="BE38" s="4">
        <v>569.93</v>
      </c>
      <c r="BF38" s="4">
        <v>1266.48</v>
      </c>
      <c r="BG38" s="4">
        <v>243.53</v>
      </c>
      <c r="BH38" s="4">
        <v>121.98</v>
      </c>
      <c r="BI38" s="4">
        <v>174.81</v>
      </c>
      <c r="BJ38" s="4">
        <v>34.73</v>
      </c>
      <c r="BK38" s="4">
        <v>60.96</v>
      </c>
      <c r="BL38" s="4">
        <v>61.79</v>
      </c>
    </row>
    <row r="39" ht="15.75" customHeight="1">
      <c r="A39" s="3"/>
      <c r="B39" s="3"/>
      <c r="C39" s="3"/>
      <c r="D39" s="3"/>
      <c r="E39" s="3"/>
      <c r="F39" s="3" t="s">
        <v>93</v>
      </c>
      <c r="G39" s="3"/>
      <c r="H39" s="4">
        <v>80.47</v>
      </c>
      <c r="I39" s="4">
        <v>80.47</v>
      </c>
      <c r="J39" s="4">
        <v>80.47</v>
      </c>
      <c r="K39" s="4">
        <v>80.32</v>
      </c>
      <c r="L39" s="4">
        <v>80.32</v>
      </c>
      <c r="M39" s="4">
        <v>86.76</v>
      </c>
      <c r="N39" s="4">
        <v>80.68</v>
      </c>
      <c r="O39" s="4">
        <v>80.34</v>
      </c>
      <c r="P39" s="4">
        <v>80.34</v>
      </c>
      <c r="Q39" s="4">
        <v>132.6</v>
      </c>
      <c r="R39" s="4">
        <v>87.45</v>
      </c>
      <c r="S39" s="4">
        <v>87.03</v>
      </c>
      <c r="T39" s="4">
        <v>86.64</v>
      </c>
      <c r="U39" s="4">
        <v>87.02</v>
      </c>
      <c r="V39" s="4">
        <v>86.68</v>
      </c>
      <c r="W39" s="4">
        <v>0.0</v>
      </c>
      <c r="X39" s="4">
        <v>87.03</v>
      </c>
      <c r="Y39" s="4">
        <v>174.01</v>
      </c>
      <c r="Z39" s="4">
        <v>86.84</v>
      </c>
      <c r="AA39" s="4">
        <v>86.85</v>
      </c>
      <c r="AB39" s="4">
        <v>86.96</v>
      </c>
      <c r="AC39" s="4">
        <v>86.72</v>
      </c>
      <c r="AD39" s="4">
        <v>86.77</v>
      </c>
      <c r="AE39" s="4">
        <v>86.56</v>
      </c>
      <c r="AF39" s="4">
        <v>86.82</v>
      </c>
      <c r="AG39" s="4">
        <v>86.91</v>
      </c>
      <c r="AH39" s="4">
        <v>-289.48</v>
      </c>
      <c r="AI39" s="4">
        <v>129.02</v>
      </c>
      <c r="AJ39" s="4">
        <v>129.44</v>
      </c>
      <c r="AK39" s="4">
        <v>130.34</v>
      </c>
      <c r="AL39" s="4">
        <v>129.1</v>
      </c>
      <c r="AM39" s="4">
        <v>128.36</v>
      </c>
      <c r="AN39" s="4">
        <v>122.09</v>
      </c>
      <c r="AO39" s="4">
        <v>115.21</v>
      </c>
      <c r="AP39" s="4">
        <v>115.54</v>
      </c>
      <c r="AQ39" s="4">
        <v>115.58</v>
      </c>
      <c r="AR39" s="4">
        <v>115.09</v>
      </c>
      <c r="AS39" s="4">
        <v>108.61</v>
      </c>
      <c r="AT39" s="4">
        <v>106.86</v>
      </c>
      <c r="AU39" s="4">
        <v>107.16</v>
      </c>
      <c r="AV39" s="4">
        <v>107.71</v>
      </c>
      <c r="AW39" s="4">
        <v>107.67</v>
      </c>
      <c r="AX39" s="4">
        <v>107.32</v>
      </c>
      <c r="AY39" s="4">
        <v>107.9</v>
      </c>
      <c r="AZ39" s="4">
        <v>107.54</v>
      </c>
      <c r="BA39" s="4">
        <v>107.1</v>
      </c>
      <c r="BB39" s="4">
        <v>107.96</v>
      </c>
      <c r="BC39" s="4">
        <v>107.96</v>
      </c>
      <c r="BD39" s="4">
        <v>107.59</v>
      </c>
      <c r="BE39" s="4">
        <v>107.79</v>
      </c>
      <c r="BF39" s="4">
        <v>108.03</v>
      </c>
      <c r="BG39" s="4">
        <v>107.07</v>
      </c>
      <c r="BH39" s="4">
        <v>108.48</v>
      </c>
      <c r="BI39" s="4">
        <v>106.68</v>
      </c>
      <c r="BJ39" s="4">
        <v>106.9</v>
      </c>
      <c r="BK39" s="4">
        <v>108.21</v>
      </c>
      <c r="BL39" s="4">
        <v>108.08</v>
      </c>
    </row>
    <row r="40" ht="15.75" customHeight="1">
      <c r="A40" s="3"/>
      <c r="B40" s="3"/>
      <c r="C40" s="3"/>
      <c r="D40" s="3"/>
      <c r="E40" s="3"/>
      <c r="F40" s="3" t="s">
        <v>94</v>
      </c>
      <c r="G40" s="3"/>
      <c r="H40" s="4">
        <v>0.0</v>
      </c>
      <c r="I40" s="4">
        <v>0.0</v>
      </c>
      <c r="J40" s="4">
        <v>6518.0</v>
      </c>
      <c r="K40" s="4">
        <v>30.53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2750.0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2475.0</v>
      </c>
      <c r="AD40" s="4">
        <v>0.0</v>
      </c>
      <c r="AE40" s="4">
        <v>0.0</v>
      </c>
      <c r="AF40" s="4">
        <v>0.0</v>
      </c>
      <c r="AG40" s="4">
        <v>0.0</v>
      </c>
      <c r="AH40" s="4">
        <v>-3151.1</v>
      </c>
      <c r="AI40" s="4">
        <v>23.54</v>
      </c>
      <c r="AJ40" s="4">
        <v>23.54</v>
      </c>
      <c r="AK40" s="4">
        <v>178.54</v>
      </c>
      <c r="AL40" s="4">
        <v>23.54</v>
      </c>
      <c r="AM40" s="4">
        <v>23.54</v>
      </c>
      <c r="AN40" s="4">
        <v>21.4</v>
      </c>
      <c r="AO40" s="4">
        <v>2771.4</v>
      </c>
      <c r="AP40" s="4">
        <v>21.4</v>
      </c>
      <c r="AQ40" s="4">
        <v>21.4</v>
      </c>
      <c r="AR40" s="4">
        <v>21.4</v>
      </c>
      <c r="AS40" s="4">
        <v>21.4</v>
      </c>
      <c r="AT40" s="4">
        <v>-2946.78</v>
      </c>
      <c r="AU40" s="4">
        <v>21.4</v>
      </c>
      <c r="AV40" s="4">
        <v>21.4</v>
      </c>
      <c r="AW40" s="4">
        <v>21.4</v>
      </c>
      <c r="AX40" s="4">
        <v>172.4</v>
      </c>
      <c r="AY40" s="4">
        <v>21.4</v>
      </c>
      <c r="AZ40" s="4">
        <v>21.4</v>
      </c>
      <c r="BA40" s="4">
        <v>21.4</v>
      </c>
      <c r="BB40" s="4">
        <v>17.12</v>
      </c>
      <c r="BC40" s="4">
        <v>2594.62</v>
      </c>
      <c r="BD40" s="4">
        <v>17.12</v>
      </c>
      <c r="BE40" s="4">
        <v>17.12</v>
      </c>
      <c r="BF40" s="4">
        <v>-3171.85</v>
      </c>
      <c r="BG40" s="4">
        <v>17.12</v>
      </c>
      <c r="BH40" s="4">
        <v>17.12</v>
      </c>
      <c r="BI40" s="4">
        <v>17.12</v>
      </c>
      <c r="BJ40" s="4">
        <v>162.12</v>
      </c>
      <c r="BK40" s="4">
        <v>17.12</v>
      </c>
      <c r="BL40" s="4">
        <v>5.35</v>
      </c>
    </row>
    <row r="41" ht="15.75" customHeight="1">
      <c r="A41" s="3"/>
      <c r="B41" s="3"/>
      <c r="C41" s="3"/>
      <c r="D41" s="3"/>
      <c r="E41" s="3"/>
      <c r="F41" s="3" t="s">
        <v>95</v>
      </c>
      <c r="G41" s="3"/>
      <c r="H41" s="4">
        <v>8415.48</v>
      </c>
      <c r="I41" s="4">
        <v>8415.48</v>
      </c>
      <c r="J41" s="4">
        <v>8415.48</v>
      </c>
      <c r="K41" s="4">
        <v>8415.48</v>
      </c>
      <c r="L41" s="4">
        <v>8415.48</v>
      </c>
      <c r="M41" s="4">
        <v>8415.48</v>
      </c>
      <c r="N41" s="4">
        <v>8415.48</v>
      </c>
      <c r="O41" s="4">
        <v>8415.48</v>
      </c>
      <c r="P41" s="4">
        <v>8415.48</v>
      </c>
      <c r="Q41" s="4">
        <v>0.0</v>
      </c>
      <c r="R41" s="4">
        <v>0.0</v>
      </c>
      <c r="S41" s="4">
        <v>8415.48</v>
      </c>
      <c r="T41" s="4">
        <v>12853.12</v>
      </c>
      <c r="U41" s="4">
        <v>8415.48</v>
      </c>
      <c r="V41" s="4">
        <v>-15677.25</v>
      </c>
      <c r="W41" s="4">
        <v>8415.48</v>
      </c>
      <c r="X41" s="4">
        <v>8415.48</v>
      </c>
      <c r="Y41" s="4">
        <v>8516.71</v>
      </c>
      <c r="Z41" s="4">
        <v>0.0</v>
      </c>
      <c r="AA41" s="4">
        <v>0.0</v>
      </c>
      <c r="AB41" s="4">
        <v>26827.64</v>
      </c>
      <c r="AC41" s="4">
        <v>8516.71</v>
      </c>
      <c r="AD41" s="4">
        <v>8516.71</v>
      </c>
      <c r="AE41" s="4">
        <v>8516.71</v>
      </c>
      <c r="AF41" s="4">
        <v>8258.7</v>
      </c>
      <c r="AG41" s="4">
        <v>8258.7</v>
      </c>
      <c r="AH41" s="4">
        <v>8258.7</v>
      </c>
      <c r="AI41" s="4">
        <v>8258.7</v>
      </c>
      <c r="AJ41" s="4">
        <v>8258.7</v>
      </c>
      <c r="AK41" s="4">
        <v>8258.7</v>
      </c>
      <c r="AL41" s="4">
        <v>8258.7</v>
      </c>
      <c r="AM41" s="4">
        <v>8258.7</v>
      </c>
      <c r="AN41" s="4">
        <v>8258.7</v>
      </c>
      <c r="AO41" s="4">
        <v>8258.7</v>
      </c>
      <c r="AP41" s="4">
        <v>8258.7</v>
      </c>
      <c r="AQ41" s="4">
        <v>19740.67</v>
      </c>
      <c r="AR41" s="4">
        <v>8258.7</v>
      </c>
      <c r="AS41" s="4">
        <v>5004.33</v>
      </c>
      <c r="AT41" s="4">
        <v>5004.33</v>
      </c>
      <c r="AU41" s="4">
        <v>6950.09</v>
      </c>
      <c r="AV41" s="4">
        <v>6701.71</v>
      </c>
      <c r="AW41" s="4">
        <v>6701.71</v>
      </c>
      <c r="AX41" s="4">
        <v>6701.71</v>
      </c>
      <c r="AY41" s="4">
        <v>9956.09</v>
      </c>
      <c r="AZ41" s="4">
        <v>6701.71</v>
      </c>
      <c r="BA41" s="4">
        <v>6701.71</v>
      </c>
      <c r="BB41" s="4">
        <v>6701.71</v>
      </c>
      <c r="BC41" s="4">
        <v>6701.71</v>
      </c>
      <c r="BD41" s="4">
        <v>6701.71</v>
      </c>
      <c r="BE41" s="4">
        <v>6148.09</v>
      </c>
      <c r="BF41" s="4">
        <v>0.0</v>
      </c>
      <c r="BG41" s="4">
        <v>6913.8</v>
      </c>
      <c r="BH41" s="4">
        <v>6913.8</v>
      </c>
      <c r="BI41" s="4">
        <v>6913.8</v>
      </c>
      <c r="BJ41" s="4">
        <v>6913.8</v>
      </c>
      <c r="BK41" s="4">
        <v>6913.8</v>
      </c>
      <c r="BL41" s="4">
        <v>6913.8</v>
      </c>
    </row>
    <row r="42" ht="15.75" customHeight="1">
      <c r="A42" s="3"/>
      <c r="B42" s="3"/>
      <c r="C42" s="3"/>
      <c r="D42" s="3"/>
      <c r="E42" s="3"/>
      <c r="F42" s="3" t="s">
        <v>96</v>
      </c>
      <c r="G42" s="3"/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4392.71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  <c r="AG42" s="4">
        <v>0.0</v>
      </c>
      <c r="AH42" s="4">
        <v>0.0</v>
      </c>
      <c r="AI42" s="4">
        <v>0.0</v>
      </c>
      <c r="AJ42" s="4">
        <v>0.0</v>
      </c>
      <c r="AK42" s="4">
        <v>0.0</v>
      </c>
      <c r="AL42" s="4">
        <v>0.0</v>
      </c>
      <c r="AM42" s="4">
        <v>0.0</v>
      </c>
      <c r="AN42" s="4">
        <v>0.0</v>
      </c>
      <c r="AO42" s="4">
        <v>0.0</v>
      </c>
      <c r="AP42" s="4">
        <v>0.0</v>
      </c>
      <c r="AQ42" s="4">
        <v>0.0</v>
      </c>
      <c r="AR42" s="4">
        <v>0.0</v>
      </c>
      <c r="AS42" s="4">
        <v>0.0</v>
      </c>
      <c r="AT42" s="4">
        <v>3814.79</v>
      </c>
      <c r="AU42" s="4">
        <v>0.0</v>
      </c>
      <c r="AV42" s="4">
        <v>0.0</v>
      </c>
      <c r="AW42" s="4">
        <v>0.0</v>
      </c>
      <c r="AX42" s="4">
        <v>0.0</v>
      </c>
      <c r="AY42" s="4">
        <v>0.0</v>
      </c>
      <c r="AZ42" s="4">
        <v>0.0</v>
      </c>
      <c r="BA42" s="4">
        <v>0.0</v>
      </c>
      <c r="BB42" s="4">
        <v>0.0</v>
      </c>
      <c r="BC42" s="4">
        <v>0.0</v>
      </c>
      <c r="BD42" s="4">
        <v>0.0</v>
      </c>
      <c r="BE42" s="4">
        <v>0.0</v>
      </c>
      <c r="BF42" s="4">
        <v>3774.54</v>
      </c>
      <c r="BG42" s="4">
        <v>0.0</v>
      </c>
      <c r="BH42" s="4">
        <v>0.0</v>
      </c>
      <c r="BI42" s="4">
        <v>0.0</v>
      </c>
      <c r="BJ42" s="4">
        <v>0.0</v>
      </c>
      <c r="BK42" s="4">
        <v>0.0</v>
      </c>
      <c r="BL42" s="4">
        <v>0.0</v>
      </c>
    </row>
    <row r="43" ht="15.75" customHeight="1">
      <c r="A43" s="3"/>
      <c r="B43" s="3"/>
      <c r="C43" s="3"/>
      <c r="D43" s="3"/>
      <c r="E43" s="3"/>
      <c r="F43" s="3" t="s">
        <v>97</v>
      </c>
      <c r="G43" s="3"/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0.0</v>
      </c>
      <c r="AM43" s="4">
        <v>0.0</v>
      </c>
      <c r="AN43" s="4">
        <v>0.0</v>
      </c>
      <c r="AO43" s="4">
        <v>0.0</v>
      </c>
      <c r="AP43" s="4">
        <v>0.0</v>
      </c>
      <c r="AQ43" s="4">
        <v>0.0</v>
      </c>
      <c r="AR43" s="4">
        <v>127.91</v>
      </c>
      <c r="AS43" s="4">
        <v>0.0</v>
      </c>
      <c r="AT43" s="4">
        <v>0.0</v>
      </c>
      <c r="AU43" s="4">
        <v>0.0</v>
      </c>
      <c r="AV43" s="4">
        <v>0.0</v>
      </c>
      <c r="AW43" s="4">
        <v>0.0</v>
      </c>
      <c r="AX43" s="4">
        <v>0.0</v>
      </c>
      <c r="AY43" s="4">
        <v>0.0</v>
      </c>
      <c r="AZ43" s="4">
        <v>0.0</v>
      </c>
      <c r="BA43" s="4">
        <v>0.0</v>
      </c>
      <c r="BB43" s="4">
        <v>0.0</v>
      </c>
      <c r="BC43" s="4">
        <v>0.0</v>
      </c>
      <c r="BD43" s="4">
        <v>0.0</v>
      </c>
      <c r="BE43" s="4">
        <v>0.0</v>
      </c>
      <c r="BF43" s="4">
        <v>0.0</v>
      </c>
      <c r="BG43" s="4">
        <v>0.0</v>
      </c>
      <c r="BH43" s="4">
        <v>0.0</v>
      </c>
      <c r="BI43" s="4">
        <v>0.0</v>
      </c>
      <c r="BJ43" s="4">
        <v>0.0</v>
      </c>
      <c r="BK43" s="4">
        <v>0.0</v>
      </c>
      <c r="BL43" s="4">
        <v>0.0</v>
      </c>
    </row>
    <row r="44" ht="15.75" customHeight="1">
      <c r="A44" s="3"/>
      <c r="B44" s="3"/>
      <c r="C44" s="3"/>
      <c r="D44" s="3"/>
      <c r="E44" s="3"/>
      <c r="F44" s="3" t="s">
        <v>98</v>
      </c>
      <c r="G44" s="3"/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2291.46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0.0</v>
      </c>
      <c r="AK44" s="4">
        <v>0.0</v>
      </c>
      <c r="AL44" s="4">
        <v>0.0</v>
      </c>
      <c r="AM44" s="4">
        <v>0.0</v>
      </c>
      <c r="AN44" s="4">
        <v>0.0</v>
      </c>
      <c r="AO44" s="4">
        <v>0.0</v>
      </c>
      <c r="AP44" s="4">
        <v>0.0</v>
      </c>
      <c r="AQ44" s="4">
        <v>0.0</v>
      </c>
      <c r="AR44" s="4">
        <v>0.0</v>
      </c>
      <c r="AS44" s="4">
        <v>0.0</v>
      </c>
      <c r="AT44" s="4">
        <v>730.84</v>
      </c>
      <c r="AU44" s="4">
        <v>0.0</v>
      </c>
      <c r="AV44" s="4">
        <v>0.0</v>
      </c>
      <c r="AW44" s="4">
        <v>0.0</v>
      </c>
      <c r="AX44" s="4">
        <v>1098.75</v>
      </c>
      <c r="AY44" s="4">
        <v>1358.37</v>
      </c>
      <c r="AZ44" s="4">
        <v>0.0</v>
      </c>
      <c r="BA44" s="4">
        <v>0.0</v>
      </c>
      <c r="BB44" s="4">
        <v>0.0</v>
      </c>
      <c r="BC44" s="4">
        <v>0.0</v>
      </c>
      <c r="BD44" s="4">
        <v>458.5</v>
      </c>
      <c r="BE44" s="4">
        <v>0.0</v>
      </c>
      <c r="BF44" s="4">
        <v>0.0</v>
      </c>
      <c r="BG44" s="4">
        <v>325.24</v>
      </c>
      <c r="BH44" s="4">
        <v>0.0</v>
      </c>
      <c r="BI44" s="4">
        <v>0.0</v>
      </c>
      <c r="BJ44" s="4">
        <v>0.0</v>
      </c>
      <c r="BK44" s="4">
        <v>0.0</v>
      </c>
      <c r="BL44" s="4">
        <v>0.0</v>
      </c>
    </row>
    <row r="45" ht="15.75" customHeight="1">
      <c r="A45" s="3"/>
      <c r="B45" s="3"/>
      <c r="C45" s="3"/>
      <c r="D45" s="3"/>
      <c r="E45" s="3"/>
      <c r="F45" s="3" t="s">
        <v>99</v>
      </c>
      <c r="G45" s="3"/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  <c r="AC45" s="5">
        <v>0.0</v>
      </c>
      <c r="AD45" s="5">
        <v>0.0</v>
      </c>
      <c r="AE45" s="5">
        <v>0.0</v>
      </c>
      <c r="AF45" s="5">
        <v>0.0</v>
      </c>
      <c r="AG45" s="5">
        <v>0.0</v>
      </c>
      <c r="AH45" s="5">
        <v>0.0</v>
      </c>
      <c r="AI45" s="5">
        <v>0.0</v>
      </c>
      <c r="AJ45" s="5">
        <v>0.0</v>
      </c>
      <c r="AK45" s="5">
        <v>0.0</v>
      </c>
      <c r="AL45" s="5">
        <v>0.0</v>
      </c>
      <c r="AM45" s="5">
        <v>0.0</v>
      </c>
      <c r="AN45" s="5">
        <v>0.0</v>
      </c>
      <c r="AO45" s="5">
        <v>0.0</v>
      </c>
      <c r="AP45" s="5">
        <v>0.0</v>
      </c>
      <c r="AQ45" s="5">
        <v>0.0</v>
      </c>
      <c r="AR45" s="5">
        <v>0.0</v>
      </c>
      <c r="AS45" s="5">
        <v>0.0</v>
      </c>
      <c r="AT45" s="5">
        <v>0.0</v>
      </c>
      <c r="AU45" s="5">
        <v>0.0</v>
      </c>
      <c r="AV45" s="5">
        <v>0.0</v>
      </c>
      <c r="AW45" s="5">
        <v>0.0</v>
      </c>
      <c r="AX45" s="5">
        <v>0.0</v>
      </c>
      <c r="AY45" s="5">
        <v>0.0</v>
      </c>
      <c r="AZ45" s="5">
        <v>0.0</v>
      </c>
      <c r="BA45" s="5">
        <v>0.0</v>
      </c>
      <c r="BB45" s="5">
        <v>0.0</v>
      </c>
      <c r="BC45" s="5">
        <v>0.0</v>
      </c>
      <c r="BD45" s="5">
        <v>0.0</v>
      </c>
      <c r="BE45" s="5">
        <v>0.0</v>
      </c>
      <c r="BF45" s="5">
        <v>0.0</v>
      </c>
      <c r="BG45" s="5">
        <v>0.0</v>
      </c>
      <c r="BH45" s="5">
        <v>0.0</v>
      </c>
      <c r="BI45" s="5">
        <v>0.0</v>
      </c>
      <c r="BJ45" s="5">
        <v>0.0</v>
      </c>
      <c r="BK45" s="5">
        <v>0.0</v>
      </c>
      <c r="BL45" s="5">
        <v>0.0</v>
      </c>
    </row>
    <row r="46" ht="15.75" customHeight="1">
      <c r="A46" s="3"/>
      <c r="B46" s="3"/>
      <c r="C46" s="3"/>
      <c r="D46" s="3"/>
      <c r="E46" s="3" t="s">
        <v>100</v>
      </c>
      <c r="F46" s="3"/>
      <c r="G46" s="3"/>
      <c r="H46" s="4">
        <f t="shared" ref="H46:BL46" si="4">ROUND(SUM(H25:H45),5)</f>
        <v>9569.64</v>
      </c>
      <c r="I46" s="4">
        <f t="shared" si="4"/>
        <v>9374.66</v>
      </c>
      <c r="J46" s="4">
        <f t="shared" si="4"/>
        <v>15797.99</v>
      </c>
      <c r="K46" s="4">
        <f t="shared" si="4"/>
        <v>9016.14</v>
      </c>
      <c r="L46" s="4">
        <f t="shared" si="4"/>
        <v>14887.81</v>
      </c>
      <c r="M46" s="4">
        <f t="shared" si="4"/>
        <v>9121.03</v>
      </c>
      <c r="N46" s="4">
        <f t="shared" si="4"/>
        <v>9036.16</v>
      </c>
      <c r="O46" s="4">
        <f t="shared" si="4"/>
        <v>11148.56</v>
      </c>
      <c r="P46" s="4">
        <f t="shared" si="4"/>
        <v>11117.08</v>
      </c>
      <c r="Q46" s="4">
        <f t="shared" si="4"/>
        <v>863.89</v>
      </c>
      <c r="R46" s="4">
        <f t="shared" si="4"/>
        <v>3417.71</v>
      </c>
      <c r="S46" s="4">
        <f t="shared" si="4"/>
        <v>13170.49</v>
      </c>
      <c r="T46" s="4">
        <f t="shared" si="4"/>
        <v>13709.8</v>
      </c>
      <c r="U46" s="4">
        <f t="shared" si="4"/>
        <v>11210.72</v>
      </c>
      <c r="V46" s="4">
        <f t="shared" si="4"/>
        <v>1171.98</v>
      </c>
      <c r="W46" s="4">
        <f t="shared" si="4"/>
        <v>8767.53</v>
      </c>
      <c r="X46" s="4">
        <f t="shared" si="4"/>
        <v>14817.86</v>
      </c>
      <c r="Y46" s="4">
        <f t="shared" si="4"/>
        <v>14273.28</v>
      </c>
      <c r="Z46" s="4">
        <f t="shared" si="4"/>
        <v>6144.79</v>
      </c>
      <c r="AA46" s="4">
        <f t="shared" si="4"/>
        <v>2817.34</v>
      </c>
      <c r="AB46" s="4">
        <f t="shared" si="4"/>
        <v>31072.59</v>
      </c>
      <c r="AC46" s="4">
        <f t="shared" si="4"/>
        <v>11500.74</v>
      </c>
      <c r="AD46" s="4">
        <f t="shared" si="4"/>
        <v>8347.83</v>
      </c>
      <c r="AE46" s="4">
        <f t="shared" si="4"/>
        <v>9016.89</v>
      </c>
      <c r="AF46" s="4">
        <f t="shared" si="4"/>
        <v>9431.32</v>
      </c>
      <c r="AG46" s="4">
        <f t="shared" si="4"/>
        <v>8856.4</v>
      </c>
      <c r="AH46" s="4">
        <f t="shared" si="4"/>
        <v>20694.72</v>
      </c>
      <c r="AI46" s="4">
        <f t="shared" si="4"/>
        <v>8868.57</v>
      </c>
      <c r="AJ46" s="4">
        <f t="shared" si="4"/>
        <v>13161.61</v>
      </c>
      <c r="AK46" s="4">
        <f t="shared" si="4"/>
        <v>12120.14</v>
      </c>
      <c r="AL46" s="4">
        <f t="shared" si="4"/>
        <v>9686.05</v>
      </c>
      <c r="AM46" s="4">
        <f t="shared" si="4"/>
        <v>11101.83</v>
      </c>
      <c r="AN46" s="4">
        <f t="shared" si="4"/>
        <v>10714.22</v>
      </c>
      <c r="AO46" s="4">
        <f t="shared" si="4"/>
        <v>11711.99</v>
      </c>
      <c r="AP46" s="4">
        <f t="shared" si="4"/>
        <v>12474.07</v>
      </c>
      <c r="AQ46" s="4">
        <f t="shared" si="4"/>
        <v>21318.29</v>
      </c>
      <c r="AR46" s="4">
        <f t="shared" si="4"/>
        <v>11140.35</v>
      </c>
      <c r="AS46" s="4">
        <f t="shared" si="4"/>
        <v>6139.02</v>
      </c>
      <c r="AT46" s="4">
        <f t="shared" si="4"/>
        <v>31328.15</v>
      </c>
      <c r="AU46" s="4">
        <f t="shared" si="4"/>
        <v>10600.18</v>
      </c>
      <c r="AV46" s="4">
        <f t="shared" si="4"/>
        <v>8385.4</v>
      </c>
      <c r="AW46" s="4">
        <f t="shared" si="4"/>
        <v>13564.44</v>
      </c>
      <c r="AX46" s="4">
        <f t="shared" si="4"/>
        <v>10566.58</v>
      </c>
      <c r="AY46" s="4">
        <f t="shared" si="4"/>
        <v>13085.04</v>
      </c>
      <c r="AZ46" s="4">
        <f t="shared" si="4"/>
        <v>9029.66</v>
      </c>
      <c r="BA46" s="4">
        <f t="shared" si="4"/>
        <v>11645.35</v>
      </c>
      <c r="BB46" s="4">
        <f t="shared" si="4"/>
        <v>9960.93</v>
      </c>
      <c r="BC46" s="4">
        <f t="shared" si="4"/>
        <v>10576.65</v>
      </c>
      <c r="BD46" s="4">
        <f t="shared" si="4"/>
        <v>9088.56</v>
      </c>
      <c r="BE46" s="4">
        <f t="shared" si="4"/>
        <v>10882.21</v>
      </c>
      <c r="BF46" s="4">
        <f t="shared" si="4"/>
        <v>24164.76</v>
      </c>
      <c r="BG46" s="4">
        <f t="shared" si="4"/>
        <v>10557.38</v>
      </c>
      <c r="BH46" s="4">
        <f t="shared" si="4"/>
        <v>8522.25</v>
      </c>
      <c r="BI46" s="4">
        <f t="shared" si="4"/>
        <v>9466.62</v>
      </c>
      <c r="BJ46" s="4">
        <f t="shared" si="4"/>
        <v>8226.09</v>
      </c>
      <c r="BK46" s="4">
        <f t="shared" si="4"/>
        <v>9033.42</v>
      </c>
      <c r="BL46" s="4">
        <f t="shared" si="4"/>
        <v>9133.98</v>
      </c>
    </row>
    <row r="47" ht="15.75" customHeight="1">
      <c r="A47" s="3"/>
      <c r="B47" s="3"/>
      <c r="C47" s="3"/>
      <c r="D47" s="3"/>
      <c r="E47" s="3" t="s">
        <v>101</v>
      </c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ht="15.75" customHeight="1">
      <c r="A48" s="3"/>
      <c r="B48" s="3"/>
      <c r="C48" s="3"/>
      <c r="D48" s="3"/>
      <c r="E48" s="3"/>
      <c r="F48" s="3" t="s">
        <v>102</v>
      </c>
      <c r="G48" s="3"/>
      <c r="H48" s="7">
        <v>1286.02</v>
      </c>
      <c r="I48" s="4">
        <v>1462.94</v>
      </c>
      <c r="J48" s="4">
        <v>409.12</v>
      </c>
      <c r="K48" s="4">
        <v>1945.88</v>
      </c>
      <c r="L48" s="4">
        <v>1120.46</v>
      </c>
      <c r="M48" s="4">
        <v>1243.07</v>
      </c>
      <c r="N48" s="4">
        <v>2135.46</v>
      </c>
      <c r="O48" s="4">
        <v>1327.85</v>
      </c>
      <c r="P48" s="4">
        <v>1067.49</v>
      </c>
      <c r="Q48" s="4">
        <v>1169.58</v>
      </c>
      <c r="R48" s="4">
        <v>1249.3</v>
      </c>
      <c r="S48" s="4">
        <v>997.98</v>
      </c>
      <c r="T48" s="4">
        <v>1249.16</v>
      </c>
      <c r="U48" s="4">
        <v>1400.81</v>
      </c>
      <c r="V48" s="4">
        <v>287.89</v>
      </c>
      <c r="W48" s="4">
        <v>969.82</v>
      </c>
      <c r="X48" s="4">
        <v>1339.25</v>
      </c>
      <c r="Y48" s="4">
        <v>828.34</v>
      </c>
      <c r="Z48" s="4">
        <v>1277.79</v>
      </c>
      <c r="AA48" s="4">
        <v>900.31</v>
      </c>
      <c r="AB48" s="4">
        <v>1043.45</v>
      </c>
      <c r="AC48" s="4">
        <v>884.12</v>
      </c>
      <c r="AD48" s="4">
        <v>900.76</v>
      </c>
      <c r="AE48" s="4">
        <v>516.84</v>
      </c>
      <c r="AF48" s="4">
        <v>60.1</v>
      </c>
      <c r="AG48" s="4">
        <v>483.0</v>
      </c>
      <c r="AH48" s="4">
        <v>134.53</v>
      </c>
      <c r="AI48" s="4">
        <v>1155.75</v>
      </c>
      <c r="AJ48" s="4">
        <v>1453.11</v>
      </c>
      <c r="AK48" s="4">
        <v>1964.35</v>
      </c>
      <c r="AL48" s="4">
        <v>720.11</v>
      </c>
      <c r="AM48" s="4">
        <v>2223.27</v>
      </c>
      <c r="AN48" s="4">
        <v>1507.74</v>
      </c>
      <c r="AO48" s="4">
        <v>1687.25</v>
      </c>
      <c r="AP48" s="4">
        <v>1362.02</v>
      </c>
      <c r="AQ48" s="4">
        <v>1534.07</v>
      </c>
      <c r="AR48" s="4">
        <v>708.18</v>
      </c>
      <c r="AS48" s="4">
        <v>2163.04</v>
      </c>
      <c r="AT48" s="4">
        <v>686.92</v>
      </c>
      <c r="AU48" s="4">
        <v>706.76</v>
      </c>
      <c r="AV48" s="4">
        <v>2017.51</v>
      </c>
      <c r="AW48" s="4">
        <v>1299.74</v>
      </c>
      <c r="AX48" s="4">
        <v>1536.53</v>
      </c>
      <c r="AY48" s="4">
        <v>2339.18</v>
      </c>
      <c r="AZ48" s="4">
        <v>656.63</v>
      </c>
      <c r="BA48" s="4">
        <v>2254.98</v>
      </c>
      <c r="BB48" s="4">
        <v>1224.82</v>
      </c>
      <c r="BC48" s="4">
        <v>259.0</v>
      </c>
      <c r="BD48" s="4">
        <v>1283.44</v>
      </c>
      <c r="BE48" s="4">
        <v>2284.84</v>
      </c>
      <c r="BF48" s="4">
        <v>147.16</v>
      </c>
      <c r="BG48" s="4">
        <v>975.7</v>
      </c>
      <c r="BH48" s="4">
        <v>2133.35</v>
      </c>
      <c r="BI48" s="4">
        <v>99.92</v>
      </c>
      <c r="BJ48" s="4">
        <v>1033.04</v>
      </c>
      <c r="BK48" s="4">
        <v>1845.77</v>
      </c>
      <c r="BL48" s="4">
        <v>105.91</v>
      </c>
    </row>
    <row r="49" ht="15.75" customHeight="1">
      <c r="A49" s="3"/>
      <c r="B49" s="3"/>
      <c r="C49" s="3"/>
      <c r="D49" s="3"/>
      <c r="E49" s="3"/>
      <c r="F49" s="3" t="s">
        <v>103</v>
      </c>
      <c r="G49" s="3"/>
      <c r="H49" s="4">
        <v>3590.0</v>
      </c>
      <c r="I49" s="4">
        <v>3280.0</v>
      </c>
      <c r="J49" s="4">
        <v>3320.0</v>
      </c>
      <c r="K49" s="4">
        <v>2850.0</v>
      </c>
      <c r="L49" s="4">
        <v>2950.0</v>
      </c>
      <c r="M49" s="4">
        <v>5040.0</v>
      </c>
      <c r="N49" s="4">
        <v>3000.0</v>
      </c>
      <c r="O49" s="4">
        <v>2760.0</v>
      </c>
      <c r="P49" s="4">
        <v>3130.0</v>
      </c>
      <c r="Q49" s="4">
        <v>3610.0</v>
      </c>
      <c r="R49" s="4">
        <v>4520.0</v>
      </c>
      <c r="S49" s="4">
        <v>2470.0</v>
      </c>
      <c r="T49" s="4">
        <v>2270.0</v>
      </c>
      <c r="U49" s="4">
        <v>2350.0</v>
      </c>
      <c r="V49" s="4">
        <v>1130.0</v>
      </c>
      <c r="W49" s="4">
        <v>1040.0</v>
      </c>
      <c r="X49" s="4">
        <v>1350.0</v>
      </c>
      <c r="Y49" s="4">
        <v>720.0</v>
      </c>
      <c r="Z49" s="4">
        <v>700.0</v>
      </c>
      <c r="AA49" s="4">
        <v>2110.0</v>
      </c>
      <c r="AB49" s="4">
        <v>2120.0</v>
      </c>
      <c r="AC49" s="4">
        <v>1611.21</v>
      </c>
      <c r="AD49" s="4">
        <v>518.88</v>
      </c>
      <c r="AE49" s="4">
        <v>89.91</v>
      </c>
      <c r="AF49" s="4">
        <v>0.0</v>
      </c>
      <c r="AG49" s="4">
        <v>0.0</v>
      </c>
      <c r="AH49" s="4">
        <v>4062.47</v>
      </c>
      <c r="AI49" s="4">
        <v>4245.63</v>
      </c>
      <c r="AJ49" s="4">
        <v>8224.87</v>
      </c>
      <c r="AK49" s="4">
        <v>4362.71</v>
      </c>
      <c r="AL49" s="4">
        <v>3406.29</v>
      </c>
      <c r="AM49" s="4">
        <v>3634.82</v>
      </c>
      <c r="AN49" s="4">
        <v>4081.7</v>
      </c>
      <c r="AO49" s="4">
        <v>6839.1</v>
      </c>
      <c r="AP49" s="4">
        <v>4044.63</v>
      </c>
      <c r="AQ49" s="4">
        <v>3872.15</v>
      </c>
      <c r="AR49" s="4">
        <v>4422.4</v>
      </c>
      <c r="AS49" s="4">
        <v>4316.34</v>
      </c>
      <c r="AT49" s="4">
        <v>4248.1</v>
      </c>
      <c r="AU49" s="4">
        <v>3716.61</v>
      </c>
      <c r="AV49" s="4">
        <v>6161.25</v>
      </c>
      <c r="AW49" s="4">
        <v>3785.33</v>
      </c>
      <c r="AX49" s="4">
        <v>4500.84</v>
      </c>
      <c r="AY49" s="4">
        <v>3654.45</v>
      </c>
      <c r="AZ49" s="4">
        <v>3964.55</v>
      </c>
      <c r="BA49" s="4">
        <v>6415.88</v>
      </c>
      <c r="BB49" s="4">
        <v>4011.6</v>
      </c>
      <c r="BC49" s="4">
        <v>4076.0</v>
      </c>
      <c r="BD49" s="4">
        <v>3782.27</v>
      </c>
      <c r="BE49" s="4">
        <v>3473.87</v>
      </c>
      <c r="BF49" s="4">
        <v>3560.17</v>
      </c>
      <c r="BG49" s="4">
        <v>2943.55</v>
      </c>
      <c r="BH49" s="4">
        <v>6275.21</v>
      </c>
      <c r="BI49" s="4">
        <v>1644.42</v>
      </c>
      <c r="BJ49" s="4">
        <v>3626.09</v>
      </c>
      <c r="BK49" s="4">
        <v>3330.58</v>
      </c>
      <c r="BL49" s="4">
        <v>3483.89</v>
      </c>
    </row>
    <row r="50" ht="15.75" customHeight="1">
      <c r="A50" s="3"/>
      <c r="B50" s="3"/>
      <c r="C50" s="3"/>
      <c r="D50" s="3"/>
      <c r="E50" s="3"/>
      <c r="F50" s="3" t="s">
        <v>104</v>
      </c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ht="15.75" customHeight="1">
      <c r="A51" s="3"/>
      <c r="B51" s="3"/>
      <c r="C51" s="3"/>
      <c r="D51" s="3"/>
      <c r="E51" s="3"/>
      <c r="F51" s="3"/>
      <c r="G51" s="3" t="s">
        <v>105</v>
      </c>
      <c r="H51" s="4">
        <v>491.66</v>
      </c>
      <c r="I51" s="4">
        <v>275.97</v>
      </c>
      <c r="J51" s="4">
        <v>373.15</v>
      </c>
      <c r="K51" s="4">
        <v>550.47</v>
      </c>
      <c r="L51" s="4">
        <v>404.1</v>
      </c>
      <c r="M51" s="4">
        <v>781.91</v>
      </c>
      <c r="N51" s="4">
        <v>587.44</v>
      </c>
      <c r="O51" s="4">
        <v>388.84</v>
      </c>
      <c r="P51" s="4">
        <v>662.22</v>
      </c>
      <c r="Q51" s="4">
        <v>230.98</v>
      </c>
      <c r="R51" s="4">
        <v>250.18</v>
      </c>
      <c r="S51" s="4">
        <v>263.25</v>
      </c>
      <c r="T51" s="4">
        <v>833.99</v>
      </c>
      <c r="U51" s="4">
        <v>208.8</v>
      </c>
      <c r="V51" s="4">
        <v>216.37</v>
      </c>
      <c r="W51" s="4">
        <v>244.85</v>
      </c>
      <c r="X51" s="4">
        <v>377.37</v>
      </c>
      <c r="Y51" s="4">
        <v>625.76</v>
      </c>
      <c r="Z51" s="4">
        <v>166.73</v>
      </c>
      <c r="AA51" s="4">
        <v>648.02</v>
      </c>
      <c r="AB51" s="4">
        <v>283.04</v>
      </c>
      <c r="AC51" s="4">
        <v>872.85</v>
      </c>
      <c r="AD51" s="4">
        <v>169.01</v>
      </c>
      <c r="AE51" s="4">
        <v>56.65</v>
      </c>
      <c r="AF51" s="4">
        <v>141.56</v>
      </c>
      <c r="AG51" s="4">
        <v>0.0</v>
      </c>
      <c r="AH51" s="4">
        <v>1055.27</v>
      </c>
      <c r="AI51" s="4">
        <v>604.34</v>
      </c>
      <c r="AJ51" s="4">
        <v>270.84</v>
      </c>
      <c r="AK51" s="4">
        <v>671.57</v>
      </c>
      <c r="AL51" s="4">
        <v>470.65</v>
      </c>
      <c r="AM51" s="4">
        <v>394.74</v>
      </c>
      <c r="AN51" s="4">
        <v>470.01</v>
      </c>
      <c r="AO51" s="4">
        <v>1145.04</v>
      </c>
      <c r="AP51" s="4">
        <v>334.37</v>
      </c>
      <c r="AQ51" s="4">
        <v>444.82</v>
      </c>
      <c r="AR51" s="4">
        <v>995.88</v>
      </c>
      <c r="AS51" s="4">
        <v>323.29</v>
      </c>
      <c r="AT51" s="4">
        <v>515.38</v>
      </c>
      <c r="AU51" s="4">
        <v>1038.27</v>
      </c>
      <c r="AV51" s="4">
        <v>453.87</v>
      </c>
      <c r="AW51" s="4">
        <v>856.06</v>
      </c>
      <c r="AX51" s="4">
        <v>109.3</v>
      </c>
      <c r="AY51" s="4">
        <v>340.33</v>
      </c>
      <c r="AZ51" s="4">
        <v>1195.04</v>
      </c>
      <c r="BA51" s="4">
        <v>137.17</v>
      </c>
      <c r="BB51" s="4">
        <v>262.97</v>
      </c>
      <c r="BC51" s="4">
        <v>621.67</v>
      </c>
      <c r="BD51" s="4">
        <v>365.34</v>
      </c>
      <c r="BE51" s="4">
        <v>365.06</v>
      </c>
      <c r="BF51" s="4">
        <v>610.65</v>
      </c>
      <c r="BG51" s="4">
        <v>242.63</v>
      </c>
      <c r="BH51" s="4">
        <v>349.11</v>
      </c>
      <c r="BI51" s="4">
        <v>48.52</v>
      </c>
      <c r="BJ51" s="4">
        <v>416.92</v>
      </c>
      <c r="BK51" s="4">
        <v>130.62</v>
      </c>
      <c r="BL51" s="4">
        <v>498.32</v>
      </c>
    </row>
    <row r="52" ht="15.75" customHeight="1">
      <c r="A52" s="3"/>
      <c r="B52" s="3"/>
      <c r="C52" s="3"/>
      <c r="D52" s="3"/>
      <c r="E52" s="3"/>
      <c r="F52" s="3"/>
      <c r="G52" s="3" t="s">
        <v>106</v>
      </c>
      <c r="H52" s="4">
        <v>992.17</v>
      </c>
      <c r="I52" s="4">
        <v>31.89</v>
      </c>
      <c r="J52" s="4">
        <v>511.53</v>
      </c>
      <c r="K52" s="4">
        <v>232.8</v>
      </c>
      <c r="L52" s="4">
        <v>275.12</v>
      </c>
      <c r="M52" s="4">
        <v>14.98</v>
      </c>
      <c r="N52" s="4">
        <v>990.82</v>
      </c>
      <c r="O52" s="4">
        <v>38.31</v>
      </c>
      <c r="P52" s="4">
        <v>373.64</v>
      </c>
      <c r="Q52" s="4">
        <v>144.01</v>
      </c>
      <c r="R52" s="4">
        <v>587.72</v>
      </c>
      <c r="S52" s="4">
        <v>0.0</v>
      </c>
      <c r="T52" s="4">
        <v>411.52</v>
      </c>
      <c r="U52" s="4">
        <v>0.0</v>
      </c>
      <c r="V52" s="4">
        <v>722.38</v>
      </c>
      <c r="W52" s="4">
        <v>550.47</v>
      </c>
      <c r="X52" s="4">
        <v>80.68</v>
      </c>
      <c r="Y52" s="4">
        <v>249.1</v>
      </c>
      <c r="Z52" s="4">
        <v>477.33</v>
      </c>
      <c r="AA52" s="4">
        <v>186.82</v>
      </c>
      <c r="AB52" s="4">
        <v>303.22</v>
      </c>
      <c r="AC52" s="4">
        <v>281.25</v>
      </c>
      <c r="AD52" s="4">
        <v>560.85</v>
      </c>
      <c r="AE52" s="4">
        <v>104.84</v>
      </c>
      <c r="AF52" s="4">
        <v>0.0</v>
      </c>
      <c r="AG52" s="4">
        <v>0.0</v>
      </c>
      <c r="AH52" s="4">
        <v>-771.79</v>
      </c>
      <c r="AI52" s="4">
        <v>747.28</v>
      </c>
      <c r="AJ52" s="4">
        <v>764.35</v>
      </c>
      <c r="AK52" s="4">
        <v>468.96</v>
      </c>
      <c r="AL52" s="4">
        <v>1577.31</v>
      </c>
      <c r="AM52" s="4">
        <v>350.04</v>
      </c>
      <c r="AN52" s="4">
        <v>279.7</v>
      </c>
      <c r="AO52" s="4">
        <v>667.4</v>
      </c>
      <c r="AP52" s="4">
        <v>645.4</v>
      </c>
      <c r="AQ52" s="4">
        <v>204.71</v>
      </c>
      <c r="AR52" s="4">
        <v>729.41</v>
      </c>
      <c r="AS52" s="4">
        <v>183.97</v>
      </c>
      <c r="AT52" s="4">
        <v>1477.82</v>
      </c>
      <c r="AU52" s="4">
        <v>1541.56</v>
      </c>
      <c r="AV52" s="4">
        <v>630.7</v>
      </c>
      <c r="AW52" s="4">
        <v>812.36</v>
      </c>
      <c r="AX52" s="4">
        <v>960.21</v>
      </c>
      <c r="AY52" s="4">
        <v>265.89</v>
      </c>
      <c r="AZ52" s="4">
        <v>2151.44</v>
      </c>
      <c r="BA52" s="4">
        <v>567.44</v>
      </c>
      <c r="BB52" s="4">
        <v>452.4</v>
      </c>
      <c r="BC52" s="4">
        <v>655.95</v>
      </c>
      <c r="BD52" s="4">
        <v>572.55</v>
      </c>
      <c r="BE52" s="4">
        <v>1076.09</v>
      </c>
      <c r="BF52" s="4">
        <v>585.02</v>
      </c>
      <c r="BG52" s="4">
        <v>0.0</v>
      </c>
      <c r="BH52" s="4">
        <v>285.97</v>
      </c>
      <c r="BI52" s="4">
        <v>55.9</v>
      </c>
      <c r="BJ52" s="4">
        <v>844.8</v>
      </c>
      <c r="BK52" s="4">
        <v>370.19</v>
      </c>
      <c r="BL52" s="4">
        <v>676.61</v>
      </c>
    </row>
    <row r="53" ht="15.75" customHeight="1">
      <c r="A53" s="3"/>
      <c r="B53" s="3"/>
      <c r="C53" s="3"/>
      <c r="D53" s="3"/>
      <c r="E53" s="3"/>
      <c r="F53" s="3"/>
      <c r="G53" s="3" t="s">
        <v>107</v>
      </c>
      <c r="H53" s="4">
        <v>33.89</v>
      </c>
      <c r="I53" s="4">
        <v>80.32</v>
      </c>
      <c r="J53" s="4">
        <v>21.28</v>
      </c>
      <c r="K53" s="4">
        <v>243.58</v>
      </c>
      <c r="L53" s="4">
        <v>62.55</v>
      </c>
      <c r="M53" s="4">
        <v>8.26</v>
      </c>
      <c r="N53" s="4">
        <v>625.74</v>
      </c>
      <c r="O53" s="4">
        <v>697.12</v>
      </c>
      <c r="P53" s="4">
        <v>286.82</v>
      </c>
      <c r="Q53" s="4">
        <v>425.26</v>
      </c>
      <c r="R53" s="4">
        <v>281.64</v>
      </c>
      <c r="S53" s="4">
        <v>285.4</v>
      </c>
      <c r="T53" s="4">
        <v>87.1</v>
      </c>
      <c r="U53" s="4">
        <v>64.18</v>
      </c>
      <c r="V53" s="4">
        <v>33.16</v>
      </c>
      <c r="W53" s="4">
        <v>115.28</v>
      </c>
      <c r="X53" s="4">
        <v>411.2</v>
      </c>
      <c r="Y53" s="4">
        <v>9.05</v>
      </c>
      <c r="Z53" s="4">
        <v>221.35</v>
      </c>
      <c r="AA53" s="4">
        <v>252.99</v>
      </c>
      <c r="AB53" s="4">
        <v>169.26</v>
      </c>
      <c r="AC53" s="4">
        <v>261.71</v>
      </c>
      <c r="AD53" s="4">
        <v>146.0</v>
      </c>
      <c r="AE53" s="4">
        <v>40.16</v>
      </c>
      <c r="AF53" s="4">
        <v>0.0</v>
      </c>
      <c r="AG53" s="4">
        <v>0.0</v>
      </c>
      <c r="AH53" s="4">
        <v>2689.81</v>
      </c>
      <c r="AI53" s="4">
        <v>0.0</v>
      </c>
      <c r="AJ53" s="4">
        <v>0.0</v>
      </c>
      <c r="AK53" s="4">
        <v>0.0</v>
      </c>
      <c r="AL53" s="4">
        <v>0.0</v>
      </c>
      <c r="AM53" s="4">
        <v>0.0</v>
      </c>
      <c r="AN53" s="4">
        <v>0.0</v>
      </c>
      <c r="AO53" s="4">
        <v>0.0</v>
      </c>
      <c r="AP53" s="4">
        <v>0.0</v>
      </c>
      <c r="AQ53" s="4">
        <v>0.0</v>
      </c>
      <c r="AR53" s="4">
        <v>0.0</v>
      </c>
      <c r="AS53" s="4">
        <v>0.0</v>
      </c>
      <c r="AT53" s="4">
        <v>0.0</v>
      </c>
      <c r="AU53" s="4">
        <v>0.0</v>
      </c>
      <c r="AV53" s="4">
        <v>0.0</v>
      </c>
      <c r="AW53" s="4">
        <v>0.0</v>
      </c>
      <c r="AX53" s="4">
        <v>0.0</v>
      </c>
      <c r="AY53" s="4">
        <v>0.0</v>
      </c>
      <c r="AZ53" s="4">
        <v>0.0</v>
      </c>
      <c r="BA53" s="4">
        <v>0.0</v>
      </c>
      <c r="BB53" s="4">
        <v>0.0</v>
      </c>
      <c r="BC53" s="4">
        <v>0.0</v>
      </c>
      <c r="BD53" s="4">
        <v>0.0</v>
      </c>
      <c r="BE53" s="4">
        <v>0.0</v>
      </c>
      <c r="BF53" s="4">
        <v>0.0</v>
      </c>
      <c r="BG53" s="4">
        <v>0.0</v>
      </c>
      <c r="BH53" s="4">
        <v>0.0</v>
      </c>
      <c r="BI53" s="4">
        <v>0.0</v>
      </c>
      <c r="BJ53" s="4">
        <v>0.0</v>
      </c>
      <c r="BK53" s="4">
        <v>0.0</v>
      </c>
      <c r="BL53" s="4">
        <v>0.0</v>
      </c>
    </row>
    <row r="54" ht="15.75" customHeight="1">
      <c r="A54" s="3"/>
      <c r="B54" s="3"/>
      <c r="C54" s="3"/>
      <c r="D54" s="3"/>
      <c r="E54" s="3"/>
      <c r="F54" s="3"/>
      <c r="G54" s="3" t="s">
        <v>108</v>
      </c>
      <c r="H54" s="4">
        <v>0.0</v>
      </c>
      <c r="I54" s="4">
        <v>0.0</v>
      </c>
      <c r="J54" s="4">
        <v>0.0</v>
      </c>
      <c r="K54" s="4">
        <v>0.0</v>
      </c>
      <c r="L54" s="4">
        <v>25.51</v>
      </c>
      <c r="M54" s="4">
        <v>12.84</v>
      </c>
      <c r="N54" s="4">
        <v>0.0</v>
      </c>
      <c r="O54" s="4">
        <v>138.03</v>
      </c>
      <c r="P54" s="4">
        <v>0.0</v>
      </c>
      <c r="Q54" s="4">
        <v>0.0</v>
      </c>
      <c r="R54" s="4">
        <v>0.0</v>
      </c>
      <c r="S54" s="4">
        <v>1297.74</v>
      </c>
      <c r="T54" s="4">
        <v>0.0</v>
      </c>
      <c r="U54" s="4">
        <v>0.0</v>
      </c>
      <c r="V54" s="4">
        <v>152.25</v>
      </c>
      <c r="W54" s="4">
        <v>0.0</v>
      </c>
      <c r="X54" s="4">
        <v>0.0</v>
      </c>
      <c r="Y54" s="4">
        <v>0.0</v>
      </c>
      <c r="Z54" s="4">
        <v>192.44</v>
      </c>
      <c r="AA54" s="4">
        <v>124.08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4">
        <v>-153.0</v>
      </c>
      <c r="AI54" s="4">
        <v>10.0</v>
      </c>
      <c r="AJ54" s="4">
        <v>0.0</v>
      </c>
      <c r="AK54" s="4">
        <v>0.0</v>
      </c>
      <c r="AL54" s="4">
        <v>39.27</v>
      </c>
      <c r="AM54" s="4">
        <v>120.05</v>
      </c>
      <c r="AN54" s="4">
        <v>929.99</v>
      </c>
      <c r="AO54" s="4">
        <v>298.93</v>
      </c>
      <c r="AP54" s="4">
        <v>0.0</v>
      </c>
      <c r="AQ54" s="4">
        <v>184.21</v>
      </c>
      <c r="AR54" s="4">
        <v>6.26</v>
      </c>
      <c r="AS54" s="4">
        <v>226.53</v>
      </c>
      <c r="AT54" s="4">
        <v>0.0</v>
      </c>
      <c r="AU54" s="4">
        <v>404.4</v>
      </c>
      <c r="AV54" s="4">
        <v>0.0</v>
      </c>
      <c r="AW54" s="4">
        <v>0.0</v>
      </c>
      <c r="AX54" s="4">
        <v>41.71</v>
      </c>
      <c r="AY54" s="4">
        <v>279.42</v>
      </c>
      <c r="AZ54" s="4">
        <v>946.31</v>
      </c>
      <c r="BA54" s="4">
        <v>129.75</v>
      </c>
      <c r="BB54" s="4">
        <v>0.0</v>
      </c>
      <c r="BC54" s="4">
        <v>1.53</v>
      </c>
      <c r="BD54" s="4">
        <v>130.85</v>
      </c>
      <c r="BE54" s="4">
        <v>217.37</v>
      </c>
      <c r="BF54" s="4">
        <v>513.5</v>
      </c>
      <c r="BG54" s="4">
        <v>0.0</v>
      </c>
      <c r="BH54" s="4">
        <v>255.43</v>
      </c>
      <c r="BI54" s="4">
        <v>125.47</v>
      </c>
      <c r="BJ54" s="4">
        <v>35.77</v>
      </c>
      <c r="BK54" s="4">
        <v>12.84</v>
      </c>
      <c r="BL54" s="4">
        <v>105.2</v>
      </c>
    </row>
    <row r="55" ht="15.75" customHeight="1">
      <c r="A55" s="3"/>
      <c r="B55" s="3"/>
      <c r="C55" s="3"/>
      <c r="D55" s="3"/>
      <c r="E55" s="3"/>
      <c r="F55" s="3"/>
      <c r="G55" s="3" t="s">
        <v>109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  <c r="AG55" s="5">
        <v>0.0</v>
      </c>
      <c r="AH55" s="5">
        <v>0.0</v>
      </c>
      <c r="AI55" s="5">
        <v>0.0</v>
      </c>
      <c r="AJ55" s="5">
        <v>0.0</v>
      </c>
      <c r="AK55" s="5">
        <v>0.0</v>
      </c>
      <c r="AL55" s="5">
        <v>0.0</v>
      </c>
      <c r="AM55" s="5">
        <v>0.0</v>
      </c>
      <c r="AN55" s="5">
        <v>0.0</v>
      </c>
      <c r="AO55" s="5">
        <v>0.0</v>
      </c>
      <c r="AP55" s="5">
        <v>0.0</v>
      </c>
      <c r="AQ55" s="5">
        <v>0.0</v>
      </c>
      <c r="AR55" s="5">
        <v>0.0</v>
      </c>
      <c r="AS55" s="5">
        <v>0.0</v>
      </c>
      <c r="AT55" s="5">
        <v>0.0</v>
      </c>
      <c r="AU55" s="5">
        <v>0.0</v>
      </c>
      <c r="AV55" s="5">
        <v>0.0</v>
      </c>
      <c r="AW55" s="5">
        <v>0.0</v>
      </c>
      <c r="AX55" s="5">
        <v>0.0</v>
      </c>
      <c r="AY55" s="5">
        <v>0.0</v>
      </c>
      <c r="AZ55" s="5">
        <v>0.0</v>
      </c>
      <c r="BA55" s="5">
        <v>0.0</v>
      </c>
      <c r="BB55" s="5">
        <v>0.0</v>
      </c>
      <c r="BC55" s="5">
        <v>0.0</v>
      </c>
      <c r="BD55" s="5">
        <v>0.0</v>
      </c>
      <c r="BE55" s="5">
        <v>0.0</v>
      </c>
      <c r="BF55" s="5">
        <v>2600.03</v>
      </c>
      <c r="BG55" s="5">
        <v>0.0</v>
      </c>
      <c r="BH55" s="5">
        <v>0.0</v>
      </c>
      <c r="BI55" s="5">
        <v>0.0</v>
      </c>
      <c r="BJ55" s="5">
        <v>0.0</v>
      </c>
      <c r="BK55" s="5">
        <v>0.0</v>
      </c>
      <c r="BL55" s="5">
        <v>0.0</v>
      </c>
    </row>
    <row r="56" ht="15.75" customHeight="1">
      <c r="A56" s="3"/>
      <c r="B56" s="3"/>
      <c r="C56" s="3"/>
      <c r="D56" s="3"/>
      <c r="E56" s="3"/>
      <c r="F56" s="3" t="s">
        <v>110</v>
      </c>
      <c r="G56" s="3"/>
      <c r="H56" s="4">
        <f t="shared" ref="H56:BL56" si="5">ROUND(SUM(H50:H55),5)</f>
        <v>1517.72</v>
      </c>
      <c r="I56" s="4">
        <f t="shared" si="5"/>
        <v>388.18</v>
      </c>
      <c r="J56" s="4">
        <f t="shared" si="5"/>
        <v>905.96</v>
      </c>
      <c r="K56" s="4">
        <f t="shared" si="5"/>
        <v>1026.85</v>
      </c>
      <c r="L56" s="4">
        <f t="shared" si="5"/>
        <v>767.28</v>
      </c>
      <c r="M56" s="4">
        <f t="shared" si="5"/>
        <v>817.99</v>
      </c>
      <c r="N56" s="4">
        <f t="shared" si="5"/>
        <v>2204</v>
      </c>
      <c r="O56" s="4">
        <f t="shared" si="5"/>
        <v>1262.3</v>
      </c>
      <c r="P56" s="4">
        <f t="shared" si="5"/>
        <v>1322.68</v>
      </c>
      <c r="Q56" s="4">
        <f t="shared" si="5"/>
        <v>800.25</v>
      </c>
      <c r="R56" s="4">
        <f t="shared" si="5"/>
        <v>1119.54</v>
      </c>
      <c r="S56" s="4">
        <f t="shared" si="5"/>
        <v>1846.39</v>
      </c>
      <c r="T56" s="4">
        <f t="shared" si="5"/>
        <v>1332.61</v>
      </c>
      <c r="U56" s="4">
        <f t="shared" si="5"/>
        <v>272.98</v>
      </c>
      <c r="V56" s="4">
        <f t="shared" si="5"/>
        <v>1124.16</v>
      </c>
      <c r="W56" s="4">
        <f t="shared" si="5"/>
        <v>910.6</v>
      </c>
      <c r="X56" s="4">
        <f t="shared" si="5"/>
        <v>869.25</v>
      </c>
      <c r="Y56" s="4">
        <f t="shared" si="5"/>
        <v>883.91</v>
      </c>
      <c r="Z56" s="4">
        <f t="shared" si="5"/>
        <v>1057.85</v>
      </c>
      <c r="AA56" s="4">
        <f t="shared" si="5"/>
        <v>1211.91</v>
      </c>
      <c r="AB56" s="4">
        <f t="shared" si="5"/>
        <v>755.52</v>
      </c>
      <c r="AC56" s="4">
        <f t="shared" si="5"/>
        <v>1415.81</v>
      </c>
      <c r="AD56" s="4">
        <f t="shared" si="5"/>
        <v>875.86</v>
      </c>
      <c r="AE56" s="4">
        <f t="shared" si="5"/>
        <v>201.65</v>
      </c>
      <c r="AF56" s="4">
        <f t="shared" si="5"/>
        <v>141.56</v>
      </c>
      <c r="AG56" s="4">
        <f t="shared" si="5"/>
        <v>0</v>
      </c>
      <c r="AH56" s="4">
        <f t="shared" si="5"/>
        <v>2820.29</v>
      </c>
      <c r="AI56" s="4">
        <f t="shared" si="5"/>
        <v>1361.62</v>
      </c>
      <c r="AJ56" s="4">
        <f t="shared" si="5"/>
        <v>1035.19</v>
      </c>
      <c r="AK56" s="4">
        <f t="shared" si="5"/>
        <v>1140.53</v>
      </c>
      <c r="AL56" s="4">
        <f t="shared" si="5"/>
        <v>2087.23</v>
      </c>
      <c r="AM56" s="4">
        <f t="shared" si="5"/>
        <v>864.83</v>
      </c>
      <c r="AN56" s="4">
        <f t="shared" si="5"/>
        <v>1679.7</v>
      </c>
      <c r="AO56" s="4">
        <f t="shared" si="5"/>
        <v>2111.37</v>
      </c>
      <c r="AP56" s="4">
        <f t="shared" si="5"/>
        <v>979.77</v>
      </c>
      <c r="AQ56" s="4">
        <f t="shared" si="5"/>
        <v>833.74</v>
      </c>
      <c r="AR56" s="4">
        <f t="shared" si="5"/>
        <v>1731.55</v>
      </c>
      <c r="AS56" s="4">
        <f t="shared" si="5"/>
        <v>733.79</v>
      </c>
      <c r="AT56" s="4">
        <f t="shared" si="5"/>
        <v>1993.2</v>
      </c>
      <c r="AU56" s="4">
        <f t="shared" si="5"/>
        <v>2984.23</v>
      </c>
      <c r="AV56" s="4">
        <f t="shared" si="5"/>
        <v>1084.57</v>
      </c>
      <c r="AW56" s="4">
        <f t="shared" si="5"/>
        <v>1668.42</v>
      </c>
      <c r="AX56" s="4">
        <f t="shared" si="5"/>
        <v>1111.22</v>
      </c>
      <c r="AY56" s="4">
        <f t="shared" si="5"/>
        <v>885.64</v>
      </c>
      <c r="AZ56" s="4">
        <f t="shared" si="5"/>
        <v>4292.79</v>
      </c>
      <c r="BA56" s="4">
        <f t="shared" si="5"/>
        <v>834.36</v>
      </c>
      <c r="BB56" s="4">
        <f t="shared" si="5"/>
        <v>715.37</v>
      </c>
      <c r="BC56" s="4">
        <f t="shared" si="5"/>
        <v>1279.15</v>
      </c>
      <c r="BD56" s="4">
        <f t="shared" si="5"/>
        <v>1068.74</v>
      </c>
      <c r="BE56" s="4">
        <f t="shared" si="5"/>
        <v>1658.52</v>
      </c>
      <c r="BF56" s="4">
        <f t="shared" si="5"/>
        <v>4309.2</v>
      </c>
      <c r="BG56" s="4">
        <f t="shared" si="5"/>
        <v>242.63</v>
      </c>
      <c r="BH56" s="4">
        <f t="shared" si="5"/>
        <v>890.51</v>
      </c>
      <c r="BI56" s="4">
        <f t="shared" si="5"/>
        <v>229.89</v>
      </c>
      <c r="BJ56" s="4">
        <f t="shared" si="5"/>
        <v>1297.49</v>
      </c>
      <c r="BK56" s="4">
        <f t="shared" si="5"/>
        <v>513.65</v>
      </c>
      <c r="BL56" s="4">
        <f t="shared" si="5"/>
        <v>1280.13</v>
      </c>
    </row>
    <row r="57" ht="15.75" customHeight="1">
      <c r="A57" s="3"/>
      <c r="B57" s="3"/>
      <c r="C57" s="3"/>
      <c r="D57" s="3"/>
      <c r="E57" s="3"/>
      <c r="F57" s="3" t="s">
        <v>111</v>
      </c>
      <c r="G57" s="3"/>
      <c r="H57" s="4">
        <v>47.45</v>
      </c>
      <c r="I57" s="4">
        <v>45.0</v>
      </c>
      <c r="J57" s="4">
        <v>0.0</v>
      </c>
      <c r="K57" s="4">
        <v>0.0</v>
      </c>
      <c r="L57" s="4">
        <v>0.0</v>
      </c>
      <c r="M57" s="4">
        <v>33.31</v>
      </c>
      <c r="N57" s="4">
        <v>86.99</v>
      </c>
      <c r="O57" s="4">
        <v>637.64</v>
      </c>
      <c r="P57" s="4">
        <v>70.0</v>
      </c>
      <c r="Q57" s="4">
        <v>140.0</v>
      </c>
      <c r="R57" s="4">
        <v>35.0</v>
      </c>
      <c r="S57" s="4">
        <v>70.0</v>
      </c>
      <c r="T57" s="4">
        <v>289.24</v>
      </c>
      <c r="U57" s="4">
        <v>0.0</v>
      </c>
      <c r="V57" s="4">
        <v>0.0</v>
      </c>
      <c r="W57" s="4">
        <v>245.19</v>
      </c>
      <c r="X57" s="4">
        <v>35.0</v>
      </c>
      <c r="Y57" s="4">
        <v>0.0</v>
      </c>
      <c r="Z57" s="4">
        <v>44.23</v>
      </c>
      <c r="AA57" s="4">
        <v>35.0</v>
      </c>
      <c r="AB57" s="4">
        <v>0.0</v>
      </c>
      <c r="AC57" s="4">
        <v>0.0</v>
      </c>
      <c r="AD57" s="4">
        <v>141.53</v>
      </c>
      <c r="AE57" s="4">
        <v>0.0</v>
      </c>
      <c r="AF57" s="4">
        <v>0.0</v>
      </c>
      <c r="AG57" s="4">
        <v>0.0</v>
      </c>
      <c r="AH57" s="4">
        <v>1472.82</v>
      </c>
      <c r="AI57" s="4">
        <v>0.0</v>
      </c>
      <c r="AJ57" s="4">
        <v>0.0</v>
      </c>
      <c r="AK57" s="4">
        <v>0.0</v>
      </c>
      <c r="AL57" s="4">
        <v>0.0</v>
      </c>
      <c r="AM57" s="4">
        <v>0.0</v>
      </c>
      <c r="AN57" s="4">
        <v>0.0</v>
      </c>
      <c r="AO57" s="4">
        <v>0.0</v>
      </c>
      <c r="AP57" s="4">
        <v>0.0</v>
      </c>
      <c r="AQ57" s="4">
        <v>0.0</v>
      </c>
      <c r="AR57" s="4">
        <v>0.0</v>
      </c>
      <c r="AS57" s="4">
        <v>0.0</v>
      </c>
      <c r="AT57" s="4">
        <v>0.0</v>
      </c>
      <c r="AU57" s="4">
        <v>0.0</v>
      </c>
      <c r="AV57" s="4">
        <v>0.0</v>
      </c>
      <c r="AW57" s="4">
        <v>0.0</v>
      </c>
      <c r="AX57" s="4">
        <v>0.0</v>
      </c>
      <c r="AY57" s="4">
        <v>0.0</v>
      </c>
      <c r="AZ57" s="4">
        <v>0.0</v>
      </c>
      <c r="BA57" s="4">
        <v>0.0</v>
      </c>
      <c r="BB57" s="4">
        <v>0.0</v>
      </c>
      <c r="BC57" s="4">
        <v>0.0</v>
      </c>
      <c r="BD57" s="4">
        <v>0.0</v>
      </c>
      <c r="BE57" s="4">
        <v>0.0</v>
      </c>
      <c r="BF57" s="4">
        <v>0.0</v>
      </c>
      <c r="BG57" s="4">
        <v>0.0</v>
      </c>
      <c r="BH57" s="4">
        <v>0.0</v>
      </c>
      <c r="BI57" s="4">
        <v>0.0</v>
      </c>
      <c r="BJ57" s="4">
        <v>0.0</v>
      </c>
      <c r="BK57" s="4">
        <v>0.0</v>
      </c>
      <c r="BL57" s="4">
        <v>0.0</v>
      </c>
    </row>
    <row r="58" ht="15.75" customHeight="1">
      <c r="A58" s="3"/>
      <c r="B58" s="3"/>
      <c r="C58" s="3"/>
      <c r="D58" s="3"/>
      <c r="E58" s="3"/>
      <c r="F58" s="3" t="s">
        <v>112</v>
      </c>
      <c r="G58" s="3"/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0.0</v>
      </c>
      <c r="AG58" s="4">
        <v>0.0</v>
      </c>
      <c r="AH58" s="4">
        <v>0.0</v>
      </c>
      <c r="AI58" s="4">
        <v>0.0</v>
      </c>
      <c r="AJ58" s="4">
        <v>0.0</v>
      </c>
      <c r="AK58" s="4">
        <v>0.0</v>
      </c>
      <c r="AL58" s="4">
        <v>0.0</v>
      </c>
      <c r="AM58" s="4">
        <v>0.0</v>
      </c>
      <c r="AN58" s="4">
        <v>0.0</v>
      </c>
      <c r="AO58" s="4">
        <v>0.0</v>
      </c>
      <c r="AP58" s="4">
        <v>0.0</v>
      </c>
      <c r="AQ58" s="4">
        <v>0.0</v>
      </c>
      <c r="AR58" s="4">
        <v>0.0</v>
      </c>
      <c r="AS58" s="4">
        <v>0.0</v>
      </c>
      <c r="AT58" s="4">
        <v>0.0</v>
      </c>
      <c r="AU58" s="4">
        <v>0.0</v>
      </c>
      <c r="AV58" s="4">
        <v>0.0</v>
      </c>
      <c r="AW58" s="4">
        <v>0.0</v>
      </c>
      <c r="AX58" s="4">
        <v>0.0</v>
      </c>
      <c r="AY58" s="4">
        <v>0.0</v>
      </c>
      <c r="AZ58" s="4">
        <v>0.0</v>
      </c>
      <c r="BA58" s="4">
        <v>0.0</v>
      </c>
      <c r="BB58" s="4">
        <v>0.0</v>
      </c>
      <c r="BC58" s="4">
        <v>0.0</v>
      </c>
      <c r="BD58" s="4">
        <v>0.0</v>
      </c>
      <c r="BE58" s="4">
        <v>0.0</v>
      </c>
      <c r="BF58" s="4">
        <v>0.0</v>
      </c>
      <c r="BG58" s="4">
        <v>0.0</v>
      </c>
      <c r="BH58" s="4">
        <v>-41.66</v>
      </c>
      <c r="BI58" s="4">
        <v>41.66</v>
      </c>
      <c r="BJ58" s="4">
        <v>0.0</v>
      </c>
      <c r="BK58" s="4">
        <v>0.0</v>
      </c>
      <c r="BL58" s="4">
        <v>0.0</v>
      </c>
    </row>
    <row r="59" ht="15.75" customHeight="1">
      <c r="A59" s="3"/>
      <c r="B59" s="3"/>
      <c r="C59" s="3"/>
      <c r="D59" s="3"/>
      <c r="E59" s="3"/>
      <c r="F59" s="3" t="s">
        <v>113</v>
      </c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ht="15.75" customHeight="1">
      <c r="A60" s="3"/>
      <c r="B60" s="3"/>
      <c r="C60" s="3"/>
      <c r="D60" s="3"/>
      <c r="E60" s="3"/>
      <c r="F60" s="3"/>
      <c r="G60" s="3" t="s">
        <v>114</v>
      </c>
      <c r="H60" s="4">
        <v>54.24</v>
      </c>
      <c r="I60" s="4">
        <v>56.4</v>
      </c>
      <c r="J60" s="4">
        <v>51.0</v>
      </c>
      <c r="K60" s="4">
        <v>134.13</v>
      </c>
      <c r="L60" s="4">
        <v>54.24</v>
      </c>
      <c r="M60" s="4">
        <v>82.98</v>
      </c>
      <c r="N60" s="4">
        <v>55.32</v>
      </c>
      <c r="O60" s="4">
        <v>53.16</v>
      </c>
      <c r="P60" s="4">
        <v>54.24</v>
      </c>
      <c r="Q60" s="4">
        <v>50.61</v>
      </c>
      <c r="R60" s="4">
        <v>77.4</v>
      </c>
      <c r="S60" s="4">
        <v>54.57</v>
      </c>
      <c r="T60" s="4">
        <v>54.57</v>
      </c>
      <c r="U60" s="4">
        <v>52.59</v>
      </c>
      <c r="V60" s="4">
        <v>54.57</v>
      </c>
      <c r="W60" s="4">
        <v>120.27</v>
      </c>
      <c r="X60" s="4">
        <v>51.6</v>
      </c>
      <c r="Y60" s="4">
        <v>74.43</v>
      </c>
      <c r="Z60" s="4">
        <v>55.56</v>
      </c>
      <c r="AA60" s="4">
        <v>55.56</v>
      </c>
      <c r="AB60" s="4">
        <v>57.54</v>
      </c>
      <c r="AC60" s="4">
        <v>57.54</v>
      </c>
      <c r="AD60" s="4">
        <v>78.25</v>
      </c>
      <c r="AE60" s="4">
        <v>51.6</v>
      </c>
      <c r="AF60" s="4">
        <v>36.75</v>
      </c>
      <c r="AG60" s="4">
        <v>36.83</v>
      </c>
      <c r="AH60" s="4">
        <v>1431.28</v>
      </c>
      <c r="AI60" s="4">
        <v>0.0</v>
      </c>
      <c r="AJ60" s="4">
        <v>0.0</v>
      </c>
      <c r="AK60" s="4">
        <v>0.0</v>
      </c>
      <c r="AL60" s="4">
        <v>0.0</v>
      </c>
      <c r="AM60" s="4">
        <v>0.0</v>
      </c>
      <c r="AN60" s="4">
        <v>0.0</v>
      </c>
      <c r="AO60" s="4">
        <v>0.0</v>
      </c>
      <c r="AP60" s="4">
        <v>0.0</v>
      </c>
      <c r="AQ60" s="4">
        <v>0.0</v>
      </c>
      <c r="AR60" s="4">
        <v>0.0</v>
      </c>
      <c r="AS60" s="4">
        <v>0.0</v>
      </c>
      <c r="AT60" s="4">
        <v>0.0</v>
      </c>
      <c r="AU60" s="4">
        <v>0.0</v>
      </c>
      <c r="AV60" s="4">
        <v>0.0</v>
      </c>
      <c r="AW60" s="4">
        <v>0.0</v>
      </c>
      <c r="AX60" s="4">
        <v>0.0</v>
      </c>
      <c r="AY60" s="4">
        <v>0.0</v>
      </c>
      <c r="AZ60" s="4">
        <v>0.0</v>
      </c>
      <c r="BA60" s="4">
        <v>0.0</v>
      </c>
      <c r="BB60" s="4">
        <v>0.0</v>
      </c>
      <c r="BC60" s="4">
        <v>0.0</v>
      </c>
      <c r="BD60" s="4">
        <v>0.0</v>
      </c>
      <c r="BE60" s="4">
        <v>0.0</v>
      </c>
      <c r="BF60" s="4">
        <v>0.0</v>
      </c>
      <c r="BG60" s="4">
        <v>0.0</v>
      </c>
      <c r="BH60" s="4">
        <v>0.0</v>
      </c>
      <c r="BI60" s="4">
        <v>0.0</v>
      </c>
      <c r="BJ60" s="4">
        <v>0.0</v>
      </c>
      <c r="BK60" s="4">
        <v>0.0</v>
      </c>
      <c r="BL60" s="4">
        <v>0.0</v>
      </c>
    </row>
    <row r="61" ht="15.75" customHeight="1">
      <c r="A61" s="3"/>
      <c r="B61" s="3"/>
      <c r="C61" s="3"/>
      <c r="D61" s="3"/>
      <c r="E61" s="3"/>
      <c r="F61" s="3"/>
      <c r="G61" s="3" t="s">
        <v>115</v>
      </c>
      <c r="H61" s="4">
        <v>483.92</v>
      </c>
      <c r="I61" s="4">
        <v>483.92</v>
      </c>
      <c r="J61" s="4">
        <v>483.92</v>
      </c>
      <c r="K61" s="4">
        <v>483.92</v>
      </c>
      <c r="L61" s="4">
        <v>483.92</v>
      </c>
      <c r="M61" s="4">
        <v>694.02</v>
      </c>
      <c r="N61" s="4">
        <v>462.68</v>
      </c>
      <c r="O61" s="4">
        <v>462.68</v>
      </c>
      <c r="P61" s="4">
        <v>462.68</v>
      </c>
      <c r="Q61" s="4">
        <v>462.68</v>
      </c>
      <c r="R61" s="4">
        <v>694.02</v>
      </c>
      <c r="S61" s="4">
        <v>462.68</v>
      </c>
      <c r="T61" s="4">
        <v>462.68</v>
      </c>
      <c r="U61" s="4">
        <v>462.68</v>
      </c>
      <c r="V61" s="4">
        <v>462.68</v>
      </c>
      <c r="W61" s="4">
        <v>462.68</v>
      </c>
      <c r="X61" s="4">
        <v>462.68</v>
      </c>
      <c r="Y61" s="4">
        <v>682.7</v>
      </c>
      <c r="Z61" s="4">
        <v>445.72</v>
      </c>
      <c r="AA61" s="4">
        <v>445.72</v>
      </c>
      <c r="AB61" s="4">
        <v>445.72</v>
      </c>
      <c r="AC61" s="4">
        <v>445.72</v>
      </c>
      <c r="AD61" s="4">
        <v>668.58</v>
      </c>
      <c r="AE61" s="4">
        <v>445.72</v>
      </c>
      <c r="AF61" s="4">
        <v>72.5</v>
      </c>
      <c r="AG61" s="4">
        <v>0.0</v>
      </c>
      <c r="AH61" s="4">
        <v>433.72</v>
      </c>
      <c r="AI61" s="4">
        <v>433.72</v>
      </c>
      <c r="AJ61" s="4">
        <v>650.58</v>
      </c>
      <c r="AK61" s="4">
        <v>404.08</v>
      </c>
      <c r="AL61" s="4">
        <v>404.08</v>
      </c>
      <c r="AM61" s="4">
        <v>404.08</v>
      </c>
      <c r="AN61" s="4">
        <v>404.08</v>
      </c>
      <c r="AO61" s="4">
        <v>606.12</v>
      </c>
      <c r="AP61" s="4">
        <v>404.08</v>
      </c>
      <c r="AQ61" s="4">
        <v>404.08</v>
      </c>
      <c r="AR61" s="4">
        <v>404.08</v>
      </c>
      <c r="AS61" s="4">
        <v>392.2</v>
      </c>
      <c r="AT61" s="4">
        <v>392.2</v>
      </c>
      <c r="AU61" s="4">
        <v>392.2</v>
      </c>
      <c r="AV61" s="4">
        <v>588.3</v>
      </c>
      <c r="AW61" s="4">
        <v>392.2</v>
      </c>
      <c r="AX61" s="4">
        <v>392.2</v>
      </c>
      <c r="AY61" s="4">
        <v>392.2</v>
      </c>
      <c r="AZ61" s="4">
        <v>392.2</v>
      </c>
      <c r="BA61" s="4">
        <v>588.3</v>
      </c>
      <c r="BB61" s="4">
        <v>392.2</v>
      </c>
      <c r="BC61" s="4">
        <v>392.2</v>
      </c>
      <c r="BD61" s="4">
        <v>392.2</v>
      </c>
      <c r="BE61" s="4">
        <v>392.2</v>
      </c>
      <c r="BF61" s="4">
        <v>5098.6</v>
      </c>
      <c r="BG61" s="4">
        <v>0.0</v>
      </c>
      <c r="BH61" s="4">
        <v>0.0</v>
      </c>
      <c r="BI61" s="4">
        <v>0.0</v>
      </c>
      <c r="BJ61" s="4">
        <v>0.0</v>
      </c>
      <c r="BK61" s="4">
        <v>0.0</v>
      </c>
      <c r="BL61" s="4">
        <v>0.0</v>
      </c>
    </row>
    <row r="62" ht="15.75" customHeight="1">
      <c r="A62" s="3"/>
      <c r="B62" s="3"/>
      <c r="C62" s="3"/>
      <c r="D62" s="3"/>
      <c r="E62" s="3"/>
      <c r="F62" s="3"/>
      <c r="G62" s="3" t="s">
        <v>116</v>
      </c>
      <c r="H62" s="4">
        <v>9028.0</v>
      </c>
      <c r="I62" s="4">
        <v>9028.0</v>
      </c>
      <c r="J62" s="4">
        <v>9028.0</v>
      </c>
      <c r="K62" s="4">
        <v>9028.0</v>
      </c>
      <c r="L62" s="4">
        <v>9028.0</v>
      </c>
      <c r="M62" s="4">
        <v>13542.0</v>
      </c>
      <c r="N62" s="4">
        <v>9028.0</v>
      </c>
      <c r="O62" s="4">
        <v>9028.0</v>
      </c>
      <c r="P62" s="4">
        <v>9028.0</v>
      </c>
      <c r="Q62" s="4">
        <v>9028.0</v>
      </c>
      <c r="R62" s="4">
        <v>13542.0</v>
      </c>
      <c r="S62" s="4">
        <v>9028.0</v>
      </c>
      <c r="T62" s="4">
        <v>9028.0</v>
      </c>
      <c r="U62" s="4">
        <v>9028.0</v>
      </c>
      <c r="V62" s="4">
        <v>9028.0</v>
      </c>
      <c r="W62" s="4">
        <v>9028.0</v>
      </c>
      <c r="X62" s="4">
        <v>9028.0</v>
      </c>
      <c r="Y62" s="4">
        <v>13542.0</v>
      </c>
      <c r="Z62" s="4">
        <v>9028.0</v>
      </c>
      <c r="AA62" s="4">
        <v>9028.0</v>
      </c>
      <c r="AB62" s="4">
        <v>9028.0</v>
      </c>
      <c r="AC62" s="4">
        <v>9028.0</v>
      </c>
      <c r="AD62" s="4">
        <v>13542.0</v>
      </c>
      <c r="AE62" s="4">
        <v>9028.0</v>
      </c>
      <c r="AF62" s="4">
        <v>1740.72</v>
      </c>
      <c r="AG62" s="4">
        <v>0.0</v>
      </c>
      <c r="AH62" s="4">
        <v>8800.0</v>
      </c>
      <c r="AI62" s="4">
        <v>8800.0</v>
      </c>
      <c r="AJ62" s="4">
        <v>13200.0</v>
      </c>
      <c r="AK62" s="4">
        <v>8461.52</v>
      </c>
      <c r="AL62" s="4">
        <v>8461.52</v>
      </c>
      <c r="AM62" s="4">
        <v>8461.52</v>
      </c>
      <c r="AN62" s="4">
        <v>8461.52</v>
      </c>
      <c r="AO62" s="4">
        <v>12692.28</v>
      </c>
      <c r="AP62" s="4">
        <v>8461.52</v>
      </c>
      <c r="AQ62" s="4">
        <v>8461.52</v>
      </c>
      <c r="AR62" s="4">
        <v>8461.52</v>
      </c>
      <c r="AS62" s="4">
        <v>8461.52</v>
      </c>
      <c r="AT62" s="4">
        <v>8461.52</v>
      </c>
      <c r="AU62" s="4">
        <v>8461.52</v>
      </c>
      <c r="AV62" s="4">
        <v>12692.28</v>
      </c>
      <c r="AW62" s="4">
        <v>8461.52</v>
      </c>
      <c r="AX62" s="4">
        <v>8461.52</v>
      </c>
      <c r="AY62" s="4">
        <v>8461.52</v>
      </c>
      <c r="AZ62" s="4">
        <v>8461.52</v>
      </c>
      <c r="BA62" s="4">
        <v>12692.28</v>
      </c>
      <c r="BB62" s="4">
        <v>8461.52</v>
      </c>
      <c r="BC62" s="4">
        <v>8461.52</v>
      </c>
      <c r="BD62" s="4">
        <v>8461.52</v>
      </c>
      <c r="BE62" s="4">
        <v>8461.52</v>
      </c>
      <c r="BF62" s="4">
        <v>109999.76</v>
      </c>
      <c r="BG62" s="4">
        <v>0.0</v>
      </c>
      <c r="BH62" s="4">
        <v>0.0</v>
      </c>
      <c r="BI62" s="4">
        <v>0.0</v>
      </c>
      <c r="BJ62" s="4">
        <v>0.0</v>
      </c>
      <c r="BK62" s="4">
        <v>0.0</v>
      </c>
      <c r="BL62" s="4">
        <v>0.0</v>
      </c>
    </row>
    <row r="63" ht="15.75" customHeight="1">
      <c r="A63" s="3"/>
      <c r="B63" s="3"/>
      <c r="C63" s="3"/>
      <c r="D63" s="3"/>
      <c r="E63" s="3"/>
      <c r="F63" s="3"/>
      <c r="G63" s="3" t="s">
        <v>117</v>
      </c>
      <c r="H63" s="4">
        <v>1444.21</v>
      </c>
      <c r="I63" s="4">
        <v>1364.31</v>
      </c>
      <c r="J63" s="4">
        <v>1357.09</v>
      </c>
      <c r="K63" s="4">
        <v>1303.75</v>
      </c>
      <c r="L63" s="4">
        <v>1309.02</v>
      </c>
      <c r="M63" s="4">
        <v>2058.7</v>
      </c>
      <c r="N63" s="4">
        <v>1189.05</v>
      </c>
      <c r="O63" s="4">
        <v>1240.28</v>
      </c>
      <c r="P63" s="4">
        <v>1267.72</v>
      </c>
      <c r="Q63" s="4">
        <v>1255.43</v>
      </c>
      <c r="R63" s="4">
        <v>1682.04</v>
      </c>
      <c r="S63" s="4">
        <v>1234.29</v>
      </c>
      <c r="T63" s="4">
        <v>1256.57</v>
      </c>
      <c r="U63" s="4">
        <v>1271.48</v>
      </c>
      <c r="V63" s="4">
        <v>1219.48</v>
      </c>
      <c r="W63" s="4">
        <v>1130.55</v>
      </c>
      <c r="X63" s="4">
        <v>971.72</v>
      </c>
      <c r="Y63" s="4">
        <v>1523.57</v>
      </c>
      <c r="Z63" s="4">
        <v>1160.23</v>
      </c>
      <c r="AA63" s="4">
        <v>1116.72</v>
      </c>
      <c r="AB63" s="4">
        <v>1248.26</v>
      </c>
      <c r="AC63" s="4">
        <v>1221.57</v>
      </c>
      <c r="AD63" s="4">
        <v>1523.56</v>
      </c>
      <c r="AE63" s="4">
        <v>1018.17</v>
      </c>
      <c r="AF63" s="4">
        <v>333.0</v>
      </c>
      <c r="AG63" s="4">
        <v>51.13</v>
      </c>
      <c r="AH63" s="4">
        <v>1312.53</v>
      </c>
      <c r="AI63" s="4">
        <v>1691.81</v>
      </c>
      <c r="AJ63" s="4">
        <v>2394.08</v>
      </c>
      <c r="AK63" s="4">
        <v>1697.61</v>
      </c>
      <c r="AL63" s="4">
        <v>1623.61</v>
      </c>
      <c r="AM63" s="4">
        <v>1690.01</v>
      </c>
      <c r="AN63" s="4">
        <v>1620.22</v>
      </c>
      <c r="AO63" s="4">
        <v>2308.52</v>
      </c>
      <c r="AP63" s="4">
        <v>1504.15</v>
      </c>
      <c r="AQ63" s="4">
        <v>1513.09</v>
      </c>
      <c r="AR63" s="4">
        <v>1533.16</v>
      </c>
      <c r="AS63" s="4">
        <v>1488.81</v>
      </c>
      <c r="AT63" s="4">
        <v>1452.33</v>
      </c>
      <c r="AU63" s="4">
        <v>1489.79</v>
      </c>
      <c r="AV63" s="4">
        <v>2258.97</v>
      </c>
      <c r="AW63" s="4">
        <v>1349.37</v>
      </c>
      <c r="AX63" s="4">
        <v>1523.92</v>
      </c>
      <c r="AY63" s="4">
        <v>1309.3</v>
      </c>
      <c r="AZ63" s="4">
        <v>1202.49</v>
      </c>
      <c r="BA63" s="4">
        <v>1927.84</v>
      </c>
      <c r="BB63" s="4">
        <v>1237.08</v>
      </c>
      <c r="BC63" s="4">
        <v>1249.41</v>
      </c>
      <c r="BD63" s="4">
        <v>1192.94</v>
      </c>
      <c r="BE63" s="4">
        <v>1229.44</v>
      </c>
      <c r="BF63" s="4">
        <v>13056.77</v>
      </c>
      <c r="BG63" s="4">
        <v>0.0</v>
      </c>
      <c r="BH63" s="4">
        <v>0.0</v>
      </c>
      <c r="BI63" s="4">
        <v>0.0</v>
      </c>
      <c r="BJ63" s="4">
        <v>0.0</v>
      </c>
      <c r="BK63" s="4">
        <v>0.0</v>
      </c>
      <c r="BL63" s="4">
        <v>0.0</v>
      </c>
    </row>
    <row r="64" ht="15.75" customHeight="1">
      <c r="A64" s="3"/>
      <c r="B64" s="3"/>
      <c r="C64" s="3"/>
      <c r="D64" s="3"/>
      <c r="E64" s="3"/>
      <c r="F64" s="3"/>
      <c r="G64" s="3" t="s">
        <v>118</v>
      </c>
      <c r="H64" s="4">
        <v>19707.34</v>
      </c>
      <c r="I64" s="4">
        <v>18904.53</v>
      </c>
      <c r="J64" s="4">
        <v>18188.05</v>
      </c>
      <c r="K64" s="4">
        <v>18015.43</v>
      </c>
      <c r="L64" s="4">
        <v>18176.42</v>
      </c>
      <c r="M64" s="4">
        <v>28893.49</v>
      </c>
      <c r="N64" s="4">
        <v>16961.5</v>
      </c>
      <c r="O64" s="4">
        <v>17492.84</v>
      </c>
      <c r="P64" s="4">
        <v>17820.31</v>
      </c>
      <c r="Q64" s="4">
        <v>17694.56</v>
      </c>
      <c r="R64" s="4">
        <v>24297.43</v>
      </c>
      <c r="S64" s="4">
        <v>17618.77</v>
      </c>
      <c r="T64" s="4">
        <v>18230.14</v>
      </c>
      <c r="U64" s="4">
        <v>18196.6</v>
      </c>
      <c r="V64" s="4">
        <v>17660.37</v>
      </c>
      <c r="W64" s="4">
        <v>16420.91</v>
      </c>
      <c r="X64" s="4">
        <v>14327.64</v>
      </c>
      <c r="Y64" s="4">
        <v>21377.99</v>
      </c>
      <c r="Z64" s="4">
        <v>17345.65</v>
      </c>
      <c r="AA64" s="4">
        <v>16566.99</v>
      </c>
      <c r="AB64" s="4">
        <v>19116.58</v>
      </c>
      <c r="AC64" s="4">
        <v>18906.2</v>
      </c>
      <c r="AD64" s="4">
        <v>23307.82</v>
      </c>
      <c r="AE64" s="4">
        <v>15780.03</v>
      </c>
      <c r="AF64" s="4">
        <v>5413.21</v>
      </c>
      <c r="AG64" s="4">
        <v>780.0</v>
      </c>
      <c r="AH64" s="4">
        <v>19593.89</v>
      </c>
      <c r="AI64" s="4">
        <v>24912.58</v>
      </c>
      <c r="AJ64" s="4">
        <v>35351.79</v>
      </c>
      <c r="AK64" s="4">
        <v>24813.85</v>
      </c>
      <c r="AL64" s="4">
        <v>24243.47</v>
      </c>
      <c r="AM64" s="4">
        <v>25100.24</v>
      </c>
      <c r="AN64" s="4">
        <v>24287.39</v>
      </c>
      <c r="AO64" s="4">
        <v>33955.86</v>
      </c>
      <c r="AP64" s="4">
        <v>23098.0</v>
      </c>
      <c r="AQ64" s="4">
        <v>23000.05</v>
      </c>
      <c r="AR64" s="4">
        <v>23294.63</v>
      </c>
      <c r="AS64" s="4">
        <v>22523.77</v>
      </c>
      <c r="AT64" s="4">
        <v>21461.9</v>
      </c>
      <c r="AU64" s="4">
        <v>22633.87</v>
      </c>
      <c r="AV64" s="4">
        <v>33545.41</v>
      </c>
      <c r="AW64" s="4">
        <v>20707.53</v>
      </c>
      <c r="AX64" s="4">
        <v>23451.33</v>
      </c>
      <c r="AY64" s="4">
        <v>20034.11</v>
      </c>
      <c r="AZ64" s="4">
        <v>18499.67</v>
      </c>
      <c r="BA64" s="4">
        <v>29528.27</v>
      </c>
      <c r="BB64" s="4">
        <v>18941.54</v>
      </c>
      <c r="BC64" s="4">
        <v>18762.24</v>
      </c>
      <c r="BD64" s="4">
        <v>18039.53</v>
      </c>
      <c r="BE64" s="4">
        <v>18921.11</v>
      </c>
      <c r="BF64" s="4">
        <v>-101844.1</v>
      </c>
      <c r="BG64" s="4">
        <v>25595.41</v>
      </c>
      <c r="BH64" s="4">
        <v>39770.08</v>
      </c>
      <c r="BI64" s="4">
        <v>26159.11</v>
      </c>
      <c r="BJ64" s="4">
        <v>23928.69</v>
      </c>
      <c r="BK64" s="4">
        <v>20634.68</v>
      </c>
      <c r="BL64" s="4">
        <v>27078.44</v>
      </c>
    </row>
    <row r="65" ht="15.75" customHeight="1">
      <c r="A65" s="3"/>
      <c r="B65" s="3"/>
      <c r="C65" s="3"/>
      <c r="D65" s="3"/>
      <c r="E65" s="3"/>
      <c r="F65" s="3"/>
      <c r="G65" s="3" t="s">
        <v>119</v>
      </c>
      <c r="H65" s="4">
        <v>775.94</v>
      </c>
      <c r="I65" s="4">
        <v>763.11</v>
      </c>
      <c r="J65" s="4">
        <v>872.89</v>
      </c>
      <c r="K65" s="4">
        <v>906.92</v>
      </c>
      <c r="L65" s="4">
        <v>598.72</v>
      </c>
      <c r="M65" s="4">
        <v>1312.19</v>
      </c>
      <c r="N65" s="4">
        <v>824.38</v>
      </c>
      <c r="O65" s="4">
        <v>801.31</v>
      </c>
      <c r="P65" s="4">
        <v>847.42</v>
      </c>
      <c r="Q65" s="4">
        <v>849.64</v>
      </c>
      <c r="R65" s="4">
        <v>1068.63</v>
      </c>
      <c r="S65" s="4">
        <v>1038.01</v>
      </c>
      <c r="T65" s="4">
        <v>754.39</v>
      </c>
      <c r="U65" s="4">
        <v>791.79</v>
      </c>
      <c r="V65" s="4">
        <v>841.11</v>
      </c>
      <c r="W65" s="4">
        <v>549.32</v>
      </c>
      <c r="X65" s="4">
        <v>500.63</v>
      </c>
      <c r="Y65" s="4">
        <v>1011.02</v>
      </c>
      <c r="Z65" s="4">
        <v>629.44</v>
      </c>
      <c r="AA65" s="4">
        <v>865.85</v>
      </c>
      <c r="AB65" s="4">
        <v>452.58</v>
      </c>
      <c r="AC65" s="4">
        <v>914.34</v>
      </c>
      <c r="AD65" s="4">
        <v>0.0</v>
      </c>
      <c r="AE65" s="4">
        <v>0.0</v>
      </c>
      <c r="AF65" s="4">
        <v>0.0</v>
      </c>
      <c r="AG65" s="4">
        <v>0.0</v>
      </c>
      <c r="AH65" s="4">
        <v>0.0</v>
      </c>
      <c r="AI65" s="4">
        <v>0.0</v>
      </c>
      <c r="AJ65" s="4">
        <v>0.0</v>
      </c>
      <c r="AK65" s="4">
        <v>0.0</v>
      </c>
      <c r="AL65" s="4">
        <v>0.0</v>
      </c>
      <c r="AM65" s="4">
        <v>0.0</v>
      </c>
      <c r="AN65" s="4">
        <v>0.0</v>
      </c>
      <c r="AO65" s="4">
        <v>0.0</v>
      </c>
      <c r="AP65" s="4">
        <v>0.0</v>
      </c>
      <c r="AQ65" s="4">
        <v>0.0</v>
      </c>
      <c r="AR65" s="4">
        <v>0.0</v>
      </c>
      <c r="AS65" s="4">
        <v>0.0</v>
      </c>
      <c r="AT65" s="4">
        <v>0.0</v>
      </c>
      <c r="AU65" s="4">
        <v>0.0</v>
      </c>
      <c r="AV65" s="4">
        <v>0.0</v>
      </c>
      <c r="AW65" s="4">
        <v>0.0</v>
      </c>
      <c r="AX65" s="4">
        <v>0.0</v>
      </c>
      <c r="AY65" s="4">
        <v>0.0</v>
      </c>
      <c r="AZ65" s="4">
        <v>0.0</v>
      </c>
      <c r="BA65" s="4">
        <v>0.0</v>
      </c>
      <c r="BB65" s="4">
        <v>0.0</v>
      </c>
      <c r="BC65" s="4">
        <v>0.0</v>
      </c>
      <c r="BD65" s="4">
        <v>0.0</v>
      </c>
      <c r="BE65" s="4">
        <v>0.0</v>
      </c>
      <c r="BF65" s="4">
        <v>0.0</v>
      </c>
      <c r="BG65" s="4">
        <v>0.0</v>
      </c>
      <c r="BH65" s="4">
        <v>0.0</v>
      </c>
      <c r="BI65" s="4">
        <v>0.0</v>
      </c>
      <c r="BJ65" s="4">
        <v>0.0</v>
      </c>
      <c r="BK65" s="4">
        <v>0.0</v>
      </c>
      <c r="BL65" s="4">
        <v>0.0</v>
      </c>
    </row>
    <row r="66" ht="15.75" customHeight="1">
      <c r="A66" s="3"/>
      <c r="B66" s="3"/>
      <c r="C66" s="3"/>
      <c r="D66" s="3"/>
      <c r="E66" s="3"/>
      <c r="F66" s="3"/>
      <c r="G66" s="3" t="s">
        <v>120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8100.0</v>
      </c>
      <c r="N66" s="5">
        <v>88.0</v>
      </c>
      <c r="O66" s="5">
        <v>9700.0</v>
      </c>
      <c r="P66" s="5">
        <v>1000.0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  <c r="V66" s="5">
        <v>137606.81</v>
      </c>
      <c r="W66" s="5">
        <v>-7657.97</v>
      </c>
      <c r="X66" s="5">
        <v>0.0</v>
      </c>
      <c r="Y66" s="5">
        <v>-16267.46</v>
      </c>
      <c r="Z66" s="5">
        <v>-18076.22</v>
      </c>
      <c r="AA66" s="5">
        <v>0.0</v>
      </c>
      <c r="AB66" s="5">
        <v>-320.14</v>
      </c>
      <c r="AC66" s="5">
        <v>-69288.91</v>
      </c>
      <c r="AD66" s="5">
        <v>-9.87</v>
      </c>
      <c r="AE66" s="5">
        <v>-22716.49</v>
      </c>
      <c r="AF66" s="5">
        <v>-3269.75</v>
      </c>
      <c r="AG66" s="5">
        <v>0.0</v>
      </c>
      <c r="AH66" s="5">
        <v>0.0</v>
      </c>
      <c r="AI66" s="5">
        <v>0.0</v>
      </c>
      <c r="AJ66" s="5">
        <v>0.0</v>
      </c>
      <c r="AK66" s="5">
        <v>0.0</v>
      </c>
      <c r="AL66" s="5">
        <v>0.0</v>
      </c>
      <c r="AM66" s="5">
        <v>0.0</v>
      </c>
      <c r="AN66" s="5">
        <v>0.0</v>
      </c>
      <c r="AO66" s="5">
        <v>0.0</v>
      </c>
      <c r="AP66" s="5">
        <v>0.0</v>
      </c>
      <c r="AQ66" s="5">
        <v>0.0</v>
      </c>
      <c r="AR66" s="5">
        <v>0.0</v>
      </c>
      <c r="AS66" s="5">
        <v>0.0</v>
      </c>
      <c r="AT66" s="5">
        <v>0.0</v>
      </c>
      <c r="AU66" s="5">
        <v>0.0</v>
      </c>
      <c r="AV66" s="5">
        <v>0.0</v>
      </c>
      <c r="AW66" s="5">
        <v>0.0</v>
      </c>
      <c r="AX66" s="5">
        <v>0.0</v>
      </c>
      <c r="AY66" s="5">
        <v>0.0</v>
      </c>
      <c r="AZ66" s="5">
        <v>0.0</v>
      </c>
      <c r="BA66" s="5">
        <v>0.0</v>
      </c>
      <c r="BB66" s="5">
        <v>0.0</v>
      </c>
      <c r="BC66" s="5">
        <v>0.0</v>
      </c>
      <c r="BD66" s="5">
        <v>0.0</v>
      </c>
      <c r="BE66" s="5">
        <v>0.0</v>
      </c>
      <c r="BF66" s="5">
        <v>0.0</v>
      </c>
      <c r="BG66" s="5">
        <v>0.0</v>
      </c>
      <c r="BH66" s="5">
        <v>0.0</v>
      </c>
      <c r="BI66" s="5">
        <v>0.0</v>
      </c>
      <c r="BJ66" s="5">
        <v>0.0</v>
      </c>
      <c r="BK66" s="5">
        <v>0.0</v>
      </c>
      <c r="BL66" s="5">
        <v>0.0</v>
      </c>
    </row>
    <row r="67" ht="15.75" customHeight="1">
      <c r="A67" s="3"/>
      <c r="B67" s="3"/>
      <c r="C67" s="3"/>
      <c r="D67" s="3"/>
      <c r="E67" s="3"/>
      <c r="F67" s="3" t="s">
        <v>121</v>
      </c>
      <c r="G67" s="3"/>
      <c r="H67" s="4">
        <f t="shared" ref="H67:BL67" si="6">ROUND(SUM(H59:H66),5)</f>
        <v>31493.65</v>
      </c>
      <c r="I67" s="4">
        <f t="shared" si="6"/>
        <v>30600.27</v>
      </c>
      <c r="J67" s="4">
        <f t="shared" si="6"/>
        <v>29980.95</v>
      </c>
      <c r="K67" s="4">
        <f t="shared" si="6"/>
        <v>29872.15</v>
      </c>
      <c r="L67" s="4">
        <f t="shared" si="6"/>
        <v>29650.32</v>
      </c>
      <c r="M67" s="4">
        <f t="shared" si="6"/>
        <v>54683.38</v>
      </c>
      <c r="N67" s="4">
        <f t="shared" si="6"/>
        <v>28608.93</v>
      </c>
      <c r="O67" s="4">
        <f t="shared" si="6"/>
        <v>38778.27</v>
      </c>
      <c r="P67" s="4">
        <f t="shared" si="6"/>
        <v>30480.37</v>
      </c>
      <c r="Q67" s="4">
        <f t="shared" si="6"/>
        <v>29340.92</v>
      </c>
      <c r="R67" s="4">
        <f t="shared" si="6"/>
        <v>41361.52</v>
      </c>
      <c r="S67" s="4">
        <f t="shared" si="6"/>
        <v>29436.32</v>
      </c>
      <c r="T67" s="4">
        <f t="shared" si="6"/>
        <v>29786.35</v>
      </c>
      <c r="U67" s="4">
        <f t="shared" si="6"/>
        <v>29803.14</v>
      </c>
      <c r="V67" s="4">
        <f t="shared" si="6"/>
        <v>166873.02</v>
      </c>
      <c r="W67" s="4">
        <f t="shared" si="6"/>
        <v>20053.76</v>
      </c>
      <c r="X67" s="4">
        <f t="shared" si="6"/>
        <v>25342.27</v>
      </c>
      <c r="Y67" s="4">
        <f t="shared" si="6"/>
        <v>21944.25</v>
      </c>
      <c r="Z67" s="4">
        <f t="shared" si="6"/>
        <v>10588.38</v>
      </c>
      <c r="AA67" s="4">
        <f t="shared" si="6"/>
        <v>28078.84</v>
      </c>
      <c r="AB67" s="4">
        <f t="shared" si="6"/>
        <v>30028.54</v>
      </c>
      <c r="AC67" s="4">
        <f t="shared" si="6"/>
        <v>-38715.54</v>
      </c>
      <c r="AD67" s="4">
        <f t="shared" si="6"/>
        <v>39110.34</v>
      </c>
      <c r="AE67" s="4">
        <f t="shared" si="6"/>
        <v>3607.03</v>
      </c>
      <c r="AF67" s="4">
        <f t="shared" si="6"/>
        <v>4326.43</v>
      </c>
      <c r="AG67" s="4">
        <f t="shared" si="6"/>
        <v>867.96</v>
      </c>
      <c r="AH67" s="4">
        <f t="shared" si="6"/>
        <v>31571.42</v>
      </c>
      <c r="AI67" s="4">
        <f t="shared" si="6"/>
        <v>35838.11</v>
      </c>
      <c r="AJ67" s="4">
        <f t="shared" si="6"/>
        <v>51596.45</v>
      </c>
      <c r="AK67" s="4">
        <f t="shared" si="6"/>
        <v>35377.06</v>
      </c>
      <c r="AL67" s="4">
        <f t="shared" si="6"/>
        <v>34732.68</v>
      </c>
      <c r="AM67" s="4">
        <f t="shared" si="6"/>
        <v>35655.85</v>
      </c>
      <c r="AN67" s="4">
        <f t="shared" si="6"/>
        <v>34773.21</v>
      </c>
      <c r="AO67" s="4">
        <f t="shared" si="6"/>
        <v>49562.78</v>
      </c>
      <c r="AP67" s="4">
        <f t="shared" si="6"/>
        <v>33467.75</v>
      </c>
      <c r="AQ67" s="4">
        <f t="shared" si="6"/>
        <v>33378.74</v>
      </c>
      <c r="AR67" s="4">
        <f t="shared" si="6"/>
        <v>33693.39</v>
      </c>
      <c r="AS67" s="4">
        <f t="shared" si="6"/>
        <v>32866.3</v>
      </c>
      <c r="AT67" s="4">
        <f t="shared" si="6"/>
        <v>31767.95</v>
      </c>
      <c r="AU67" s="4">
        <f t="shared" si="6"/>
        <v>32977.38</v>
      </c>
      <c r="AV67" s="4">
        <f t="shared" si="6"/>
        <v>49084.96</v>
      </c>
      <c r="AW67" s="4">
        <f t="shared" si="6"/>
        <v>30910.62</v>
      </c>
      <c r="AX67" s="4">
        <f t="shared" si="6"/>
        <v>33828.97</v>
      </c>
      <c r="AY67" s="4">
        <f t="shared" si="6"/>
        <v>30197.13</v>
      </c>
      <c r="AZ67" s="4">
        <f t="shared" si="6"/>
        <v>28555.88</v>
      </c>
      <c r="BA67" s="4">
        <f t="shared" si="6"/>
        <v>44736.69</v>
      </c>
      <c r="BB67" s="4">
        <f t="shared" si="6"/>
        <v>29032.34</v>
      </c>
      <c r="BC67" s="4">
        <f t="shared" si="6"/>
        <v>28865.37</v>
      </c>
      <c r="BD67" s="4">
        <f t="shared" si="6"/>
        <v>28086.19</v>
      </c>
      <c r="BE67" s="4">
        <f t="shared" si="6"/>
        <v>29004.27</v>
      </c>
      <c r="BF67" s="4">
        <f t="shared" si="6"/>
        <v>26311.03</v>
      </c>
      <c r="BG67" s="4">
        <f t="shared" si="6"/>
        <v>25595.41</v>
      </c>
      <c r="BH67" s="4">
        <f t="shared" si="6"/>
        <v>39770.08</v>
      </c>
      <c r="BI67" s="4">
        <f t="shared" si="6"/>
        <v>26159.11</v>
      </c>
      <c r="BJ67" s="4">
        <f t="shared" si="6"/>
        <v>23928.69</v>
      </c>
      <c r="BK67" s="4">
        <f t="shared" si="6"/>
        <v>20634.68</v>
      </c>
      <c r="BL67" s="4">
        <f t="shared" si="6"/>
        <v>27078.44</v>
      </c>
    </row>
    <row r="68" ht="15.75" customHeight="1">
      <c r="A68" s="3"/>
      <c r="B68" s="3"/>
      <c r="C68" s="3"/>
      <c r="D68" s="3"/>
      <c r="E68" s="3"/>
      <c r="F68" s="3" t="s">
        <v>122</v>
      </c>
      <c r="G68" s="3"/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69.11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102.45</v>
      </c>
      <c r="Y68" s="4">
        <v>0.0</v>
      </c>
      <c r="Z68" s="4">
        <v>29.0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  <c r="AG68" s="4">
        <v>0.0</v>
      </c>
      <c r="AH68" s="4">
        <v>0.0</v>
      </c>
      <c r="AI68" s="4">
        <v>0.0</v>
      </c>
      <c r="AJ68" s="4">
        <v>0.0</v>
      </c>
      <c r="AK68" s="4">
        <v>0.0</v>
      </c>
      <c r="AL68" s="4">
        <v>0.0</v>
      </c>
      <c r="AM68" s="4">
        <v>0.0</v>
      </c>
      <c r="AN68" s="4">
        <v>0.0</v>
      </c>
      <c r="AO68" s="4">
        <v>0.0</v>
      </c>
      <c r="AP68" s="4">
        <v>0.0</v>
      </c>
      <c r="AQ68" s="4">
        <v>0.0</v>
      </c>
      <c r="AR68" s="4">
        <v>0.0</v>
      </c>
      <c r="AS68" s="4">
        <v>0.0</v>
      </c>
      <c r="AT68" s="4">
        <v>208.61</v>
      </c>
      <c r="AU68" s="4">
        <v>0.0</v>
      </c>
      <c r="AV68" s="4">
        <v>0.0</v>
      </c>
      <c r="AW68" s="4">
        <v>0.0</v>
      </c>
      <c r="AX68" s="4">
        <v>0.0</v>
      </c>
      <c r="AY68" s="4">
        <v>0.0</v>
      </c>
      <c r="AZ68" s="4">
        <v>0.0</v>
      </c>
      <c r="BA68" s="4">
        <v>0.0</v>
      </c>
      <c r="BB68" s="4">
        <v>0.0</v>
      </c>
      <c r="BC68" s="4">
        <v>0.0</v>
      </c>
      <c r="BD68" s="4">
        <v>0.0</v>
      </c>
      <c r="BE68" s="4">
        <v>0.0</v>
      </c>
      <c r="BF68" s="4">
        <v>0.0</v>
      </c>
      <c r="BG68" s="4">
        <v>0.0</v>
      </c>
      <c r="BH68" s="4">
        <v>0.0</v>
      </c>
      <c r="BI68" s="4">
        <v>0.0</v>
      </c>
      <c r="BJ68" s="4">
        <v>0.0</v>
      </c>
      <c r="BK68" s="4">
        <v>0.0</v>
      </c>
      <c r="BL68" s="4">
        <v>0.0</v>
      </c>
    </row>
    <row r="69" ht="15.75" customHeight="1">
      <c r="A69" s="3"/>
      <c r="B69" s="3"/>
      <c r="C69" s="3"/>
      <c r="D69" s="3"/>
      <c r="E69" s="3"/>
      <c r="F69" s="3" t="s">
        <v>123</v>
      </c>
      <c r="G69" s="3"/>
      <c r="H69" s="4">
        <v>-25.48</v>
      </c>
      <c r="I69" s="4">
        <v>0.12</v>
      </c>
      <c r="J69" s="4">
        <v>-106.26</v>
      </c>
      <c r="K69" s="4">
        <v>0.0</v>
      </c>
      <c r="L69" s="4">
        <v>-6.18</v>
      </c>
      <c r="M69" s="4">
        <v>0.0</v>
      </c>
      <c r="N69" s="4">
        <v>-28.36</v>
      </c>
      <c r="O69" s="4">
        <v>0.0</v>
      </c>
      <c r="P69" s="4">
        <v>5.0</v>
      </c>
      <c r="Q69" s="4">
        <v>5.64</v>
      </c>
      <c r="R69" s="4">
        <v>-5.17</v>
      </c>
      <c r="S69" s="4">
        <v>0.0</v>
      </c>
      <c r="T69" s="4">
        <v>0.0</v>
      </c>
      <c r="U69" s="4">
        <v>0.0</v>
      </c>
      <c r="V69" s="4">
        <v>0.26</v>
      </c>
      <c r="W69" s="4">
        <v>0.0</v>
      </c>
      <c r="X69" s="4">
        <v>0.19</v>
      </c>
      <c r="Y69" s="4">
        <v>0.0</v>
      </c>
      <c r="Z69" s="4">
        <v>-0.7</v>
      </c>
      <c r="AA69" s="4">
        <v>-4.85</v>
      </c>
      <c r="AB69" s="4">
        <v>-1.6</v>
      </c>
      <c r="AC69" s="4">
        <v>-240.48</v>
      </c>
      <c r="AD69" s="4">
        <v>-3.25</v>
      </c>
      <c r="AE69" s="4">
        <v>-5.01</v>
      </c>
      <c r="AF69" s="4">
        <v>0.0</v>
      </c>
      <c r="AG69" s="4">
        <v>0.0</v>
      </c>
      <c r="AH69" s="4">
        <v>-16.92</v>
      </c>
      <c r="AI69" s="4">
        <v>-10.97</v>
      </c>
      <c r="AJ69" s="4">
        <v>-7.7</v>
      </c>
      <c r="AK69" s="4">
        <v>0.04</v>
      </c>
      <c r="AL69" s="4">
        <v>0.22</v>
      </c>
      <c r="AM69" s="4">
        <v>-5.01</v>
      </c>
      <c r="AN69" s="4">
        <v>56.99</v>
      </c>
      <c r="AO69" s="4">
        <v>-2222.21</v>
      </c>
      <c r="AP69" s="4">
        <v>-3687.56</v>
      </c>
      <c r="AQ69" s="4">
        <v>6097.29</v>
      </c>
      <c r="AR69" s="4">
        <v>66.41</v>
      </c>
      <c r="AS69" s="4">
        <v>23.01</v>
      </c>
      <c r="AT69" s="4">
        <v>-118.73</v>
      </c>
      <c r="AU69" s="4">
        <v>116.89</v>
      </c>
      <c r="AV69" s="4">
        <v>41.72</v>
      </c>
      <c r="AW69" s="4">
        <v>24.54</v>
      </c>
      <c r="AX69" s="4">
        <v>-2.38</v>
      </c>
      <c r="AY69" s="4">
        <v>567.55</v>
      </c>
      <c r="AZ69" s="4">
        <v>-623.26</v>
      </c>
      <c r="BA69" s="4">
        <v>51.04</v>
      </c>
      <c r="BB69" s="4">
        <v>-21.34</v>
      </c>
      <c r="BC69" s="4">
        <v>109.24</v>
      </c>
      <c r="BD69" s="4">
        <v>-502.51</v>
      </c>
      <c r="BE69" s="4">
        <v>434.98</v>
      </c>
      <c r="BF69" s="4">
        <v>42.64</v>
      </c>
      <c r="BG69" s="4">
        <v>-59.65</v>
      </c>
      <c r="BH69" s="4">
        <v>-14.44</v>
      </c>
      <c r="BI69" s="4">
        <v>-30.07</v>
      </c>
      <c r="BJ69" s="4">
        <v>-20.0</v>
      </c>
      <c r="BK69" s="4">
        <v>-4.67</v>
      </c>
      <c r="BL69" s="4">
        <v>48.03</v>
      </c>
    </row>
    <row r="70" ht="15.75" customHeight="1">
      <c r="A70" s="3"/>
      <c r="B70" s="3"/>
      <c r="C70" s="3"/>
      <c r="D70" s="3"/>
      <c r="E70" s="3"/>
      <c r="F70" s="3" t="s">
        <v>124</v>
      </c>
      <c r="G70" s="3"/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222.74</v>
      </c>
      <c r="P70" s="4">
        <v>120.58</v>
      </c>
      <c r="Q70" s="4">
        <v>666.57</v>
      </c>
      <c r="R70" s="4">
        <v>728.26</v>
      </c>
      <c r="S70" s="4">
        <v>0.0</v>
      </c>
      <c r="T70" s="4">
        <v>0.0</v>
      </c>
      <c r="U70" s="4">
        <v>1.6</v>
      </c>
      <c r="V70" s="4">
        <v>0.0</v>
      </c>
      <c r="W70" s="4">
        <v>0.0</v>
      </c>
      <c r="X70" s="4">
        <v>0.0</v>
      </c>
      <c r="Y70" s="4">
        <v>6.4</v>
      </c>
      <c r="Z70" s="4">
        <v>12.83</v>
      </c>
      <c r="AA70" s="4">
        <v>10.25</v>
      </c>
      <c r="AB70" s="4">
        <v>0.0</v>
      </c>
      <c r="AC70" s="4">
        <v>90.87</v>
      </c>
      <c r="AD70" s="4">
        <v>0.0</v>
      </c>
      <c r="AE70" s="4">
        <v>74.88</v>
      </c>
      <c r="AF70" s="4">
        <v>0.0</v>
      </c>
      <c r="AG70" s="4">
        <v>0.0</v>
      </c>
      <c r="AH70" s="4">
        <v>148.99</v>
      </c>
      <c r="AI70" s="4">
        <v>159.96</v>
      </c>
      <c r="AJ70" s="4">
        <v>142.64</v>
      </c>
      <c r="AK70" s="4">
        <v>30.5</v>
      </c>
      <c r="AL70" s="4">
        <v>133.76</v>
      </c>
      <c r="AM70" s="4">
        <v>-1634.69</v>
      </c>
      <c r="AN70" s="4">
        <v>42.29</v>
      </c>
      <c r="AO70" s="4">
        <v>2665.71</v>
      </c>
      <c r="AP70" s="4">
        <v>265.47</v>
      </c>
      <c r="AQ70" s="4">
        <v>40.2</v>
      </c>
      <c r="AR70" s="4">
        <v>40.12</v>
      </c>
      <c r="AS70" s="4">
        <v>44.84</v>
      </c>
      <c r="AT70" s="4">
        <v>119.18</v>
      </c>
      <c r="AU70" s="4">
        <v>121.21</v>
      </c>
      <c r="AV70" s="4">
        <v>0.0</v>
      </c>
      <c r="AW70" s="4">
        <v>312.86</v>
      </c>
      <c r="AX70" s="4">
        <v>0.0</v>
      </c>
      <c r="AY70" s="4">
        <v>166.7</v>
      </c>
      <c r="AZ70" s="4">
        <v>375.63</v>
      </c>
      <c r="BA70" s="4">
        <v>521.47</v>
      </c>
      <c r="BB70" s="4">
        <v>0.0</v>
      </c>
      <c r="BC70" s="4">
        <v>20.84</v>
      </c>
      <c r="BD70" s="4">
        <v>97.65</v>
      </c>
      <c r="BE70" s="4">
        <v>0.0</v>
      </c>
      <c r="BF70" s="4">
        <v>546.9</v>
      </c>
      <c r="BG70" s="4">
        <v>369.05</v>
      </c>
      <c r="BH70" s="4">
        <v>14.97</v>
      </c>
      <c r="BI70" s="4">
        <v>0.0</v>
      </c>
      <c r="BJ70" s="4">
        <v>0.0</v>
      </c>
      <c r="BK70" s="4">
        <v>0.0</v>
      </c>
      <c r="BL70" s="4">
        <v>32.56</v>
      </c>
    </row>
    <row r="71" ht="15.75" customHeight="1">
      <c r="A71" s="3"/>
      <c r="B71" s="3"/>
      <c r="C71" s="3"/>
      <c r="D71" s="3"/>
      <c r="E71" s="3"/>
      <c r="F71" s="3" t="s">
        <v>125</v>
      </c>
      <c r="G71" s="3"/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-18.31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0.0</v>
      </c>
      <c r="AK71" s="4">
        <v>0.0</v>
      </c>
      <c r="AL71" s="4">
        <v>0.0</v>
      </c>
      <c r="AM71" s="4">
        <v>0.0</v>
      </c>
      <c r="AN71" s="4">
        <v>0.0</v>
      </c>
      <c r="AO71" s="4">
        <v>0.0</v>
      </c>
      <c r="AP71" s="4">
        <v>0.0</v>
      </c>
      <c r="AQ71" s="4">
        <v>0.0</v>
      </c>
      <c r="AR71" s="4">
        <v>0.0</v>
      </c>
      <c r="AS71" s="4">
        <v>0.0</v>
      </c>
      <c r="AT71" s="4">
        <v>0.0</v>
      </c>
      <c r="AU71" s="4">
        <v>0.0</v>
      </c>
      <c r="AV71" s="4">
        <v>0.0</v>
      </c>
      <c r="AW71" s="4">
        <v>14.02</v>
      </c>
      <c r="AX71" s="4">
        <v>0.0</v>
      </c>
      <c r="AY71" s="4">
        <v>0.0</v>
      </c>
      <c r="AZ71" s="4">
        <v>0.0</v>
      </c>
      <c r="BA71" s="4">
        <v>0.0</v>
      </c>
      <c r="BB71" s="4">
        <v>0.0</v>
      </c>
      <c r="BC71" s="4">
        <v>0.0</v>
      </c>
      <c r="BD71" s="4">
        <v>0.0</v>
      </c>
      <c r="BE71" s="4">
        <v>0.0</v>
      </c>
      <c r="BF71" s="4">
        <v>0.0</v>
      </c>
      <c r="BG71" s="4">
        <v>0.0</v>
      </c>
      <c r="BH71" s="4">
        <v>0.0</v>
      </c>
      <c r="BI71" s="4">
        <v>0.0</v>
      </c>
      <c r="BJ71" s="4">
        <v>0.0</v>
      </c>
      <c r="BK71" s="4">
        <v>0.0</v>
      </c>
      <c r="BL71" s="4">
        <v>0.0</v>
      </c>
    </row>
    <row r="72" ht="15.75" customHeight="1">
      <c r="A72" s="3"/>
      <c r="B72" s="3"/>
      <c r="C72" s="3"/>
      <c r="D72" s="3"/>
      <c r="E72" s="3"/>
      <c r="F72" s="3" t="s">
        <v>126</v>
      </c>
      <c r="G72" s="3"/>
      <c r="H72" s="4">
        <v>0.0</v>
      </c>
      <c r="I72" s="4">
        <v>417.58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143.5</v>
      </c>
      <c r="S72" s="4">
        <v>1398.47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0.01</v>
      </c>
      <c r="AC72" s="4">
        <v>500.0</v>
      </c>
      <c r="AD72" s="4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539.0</v>
      </c>
      <c r="AJ72" s="4">
        <v>0.0</v>
      </c>
      <c r="AK72" s="4">
        <v>183.5</v>
      </c>
      <c r="AL72" s="4">
        <v>0.0</v>
      </c>
      <c r="AM72" s="4">
        <v>186.68</v>
      </c>
      <c r="AN72" s="4">
        <v>0.0</v>
      </c>
      <c r="AO72" s="4">
        <v>0.0</v>
      </c>
      <c r="AP72" s="4">
        <v>189.13</v>
      </c>
      <c r="AQ72" s="4">
        <v>0.0</v>
      </c>
      <c r="AR72" s="4">
        <v>0.0</v>
      </c>
      <c r="AS72" s="4">
        <v>0.0</v>
      </c>
      <c r="AT72" s="4">
        <v>0.0</v>
      </c>
      <c r="AU72" s="4">
        <v>0.0</v>
      </c>
      <c r="AV72" s="4">
        <v>0.0</v>
      </c>
      <c r="AW72" s="4">
        <v>0.0</v>
      </c>
      <c r="AX72" s="4">
        <v>125.63</v>
      </c>
      <c r="AY72" s="4">
        <v>0.0</v>
      </c>
      <c r="AZ72" s="4">
        <v>0.0</v>
      </c>
      <c r="BA72" s="4">
        <v>750.0</v>
      </c>
      <c r="BB72" s="4">
        <v>964.57</v>
      </c>
      <c r="BC72" s="4">
        <v>0.0</v>
      </c>
      <c r="BD72" s="4">
        <v>0.0</v>
      </c>
      <c r="BE72" s="4">
        <v>542.0</v>
      </c>
      <c r="BF72" s="4">
        <v>0.0</v>
      </c>
      <c r="BG72" s="4">
        <v>0.0</v>
      </c>
      <c r="BH72" s="4">
        <v>0.0</v>
      </c>
      <c r="BI72" s="4">
        <v>0.0</v>
      </c>
      <c r="BJ72" s="4">
        <v>153.0</v>
      </c>
      <c r="BK72" s="4">
        <v>960.8</v>
      </c>
      <c r="BL72" s="4">
        <v>0.0</v>
      </c>
    </row>
    <row r="73" ht="15.75" customHeight="1">
      <c r="A73" s="3"/>
      <c r="B73" s="3"/>
      <c r="C73" s="3"/>
      <c r="D73" s="3"/>
      <c r="E73" s="3"/>
      <c r="F73" s="3" t="s">
        <v>127</v>
      </c>
      <c r="G73" s="3"/>
      <c r="H73" s="4">
        <v>323.71</v>
      </c>
      <c r="I73" s="4">
        <v>924.57</v>
      </c>
      <c r="J73" s="4">
        <v>532.85</v>
      </c>
      <c r="K73" s="4">
        <v>1476.82</v>
      </c>
      <c r="L73" s="4">
        <v>556.43</v>
      </c>
      <c r="M73" s="4">
        <v>772.71</v>
      </c>
      <c r="N73" s="4">
        <v>299.61</v>
      </c>
      <c r="O73" s="4">
        <v>580.31</v>
      </c>
      <c r="P73" s="4">
        <v>187.16</v>
      </c>
      <c r="Q73" s="4">
        <v>662.8</v>
      </c>
      <c r="R73" s="4">
        <v>55.78</v>
      </c>
      <c r="S73" s="4">
        <v>544.28</v>
      </c>
      <c r="T73" s="4">
        <v>226.66</v>
      </c>
      <c r="U73" s="4">
        <v>807.49</v>
      </c>
      <c r="V73" s="4">
        <v>372.29</v>
      </c>
      <c r="W73" s="4">
        <v>1134.97</v>
      </c>
      <c r="X73" s="4">
        <v>374.52</v>
      </c>
      <c r="Y73" s="4">
        <v>885.75</v>
      </c>
      <c r="Z73" s="4">
        <v>143.23</v>
      </c>
      <c r="AA73" s="4">
        <v>528.21</v>
      </c>
      <c r="AB73" s="4">
        <v>0.0</v>
      </c>
      <c r="AC73" s="4">
        <v>357.63</v>
      </c>
      <c r="AD73" s="4">
        <v>433.83</v>
      </c>
      <c r="AE73" s="4">
        <v>0.0</v>
      </c>
      <c r="AF73" s="4">
        <v>274.72</v>
      </c>
      <c r="AG73" s="4">
        <v>0.0</v>
      </c>
      <c r="AH73" s="4">
        <v>416.35</v>
      </c>
      <c r="AI73" s="4">
        <v>1135.97</v>
      </c>
      <c r="AJ73" s="4">
        <v>477.89</v>
      </c>
      <c r="AK73" s="4">
        <v>983.43</v>
      </c>
      <c r="AL73" s="4">
        <v>207.72</v>
      </c>
      <c r="AM73" s="4">
        <v>651.7</v>
      </c>
      <c r="AN73" s="4">
        <v>44.04</v>
      </c>
      <c r="AO73" s="4">
        <v>683.76</v>
      </c>
      <c r="AP73" s="4">
        <v>63.52</v>
      </c>
      <c r="AQ73" s="4">
        <v>743.71</v>
      </c>
      <c r="AR73" s="4">
        <v>87.52</v>
      </c>
      <c r="AS73" s="4">
        <v>846.43</v>
      </c>
      <c r="AT73" s="4">
        <v>1077.44</v>
      </c>
      <c r="AU73" s="4">
        <v>668.66</v>
      </c>
      <c r="AV73" s="4">
        <v>147.35</v>
      </c>
      <c r="AW73" s="4">
        <v>776.45</v>
      </c>
      <c r="AX73" s="4">
        <v>74.15</v>
      </c>
      <c r="AY73" s="4">
        <v>641.63</v>
      </c>
      <c r="AZ73" s="4">
        <v>50.6</v>
      </c>
      <c r="BA73" s="4">
        <v>652.9</v>
      </c>
      <c r="BB73" s="4">
        <v>47.34</v>
      </c>
      <c r="BC73" s="4">
        <v>647.93</v>
      </c>
      <c r="BD73" s="4">
        <v>101.41</v>
      </c>
      <c r="BE73" s="4">
        <v>784.64</v>
      </c>
      <c r="BF73" s="4">
        <v>254.37</v>
      </c>
      <c r="BG73" s="4">
        <v>908.58</v>
      </c>
      <c r="BH73" s="4">
        <v>274.69</v>
      </c>
      <c r="BI73" s="4">
        <v>730.3</v>
      </c>
      <c r="BJ73" s="4">
        <v>76.13</v>
      </c>
      <c r="BK73" s="4">
        <v>556.86</v>
      </c>
      <c r="BL73" s="4">
        <v>48.96</v>
      </c>
    </row>
    <row r="74" ht="15.75" customHeight="1">
      <c r="A74" s="3"/>
      <c r="B74" s="3"/>
      <c r="C74" s="3"/>
      <c r="D74" s="3"/>
      <c r="E74" s="3"/>
      <c r="F74" s="3" t="s">
        <v>128</v>
      </c>
      <c r="G74" s="3"/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245.44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F74" s="4">
        <v>0.0</v>
      </c>
      <c r="AG74" s="4">
        <v>0.0</v>
      </c>
      <c r="AH74" s="4">
        <v>0.0</v>
      </c>
      <c r="AI74" s="4">
        <v>0.0</v>
      </c>
      <c r="AJ74" s="4">
        <v>0.0</v>
      </c>
      <c r="AK74" s="4">
        <v>0.0</v>
      </c>
      <c r="AL74" s="4">
        <v>0.0</v>
      </c>
      <c r="AM74" s="4">
        <v>0.0</v>
      </c>
      <c r="AN74" s="4">
        <v>0.0</v>
      </c>
      <c r="AO74" s="4">
        <v>0.0</v>
      </c>
      <c r="AP74" s="4">
        <v>0.0</v>
      </c>
      <c r="AQ74" s="4">
        <v>0.0</v>
      </c>
      <c r="AR74" s="4">
        <v>0.0</v>
      </c>
      <c r="AS74" s="4">
        <v>0.0</v>
      </c>
      <c r="AT74" s="4">
        <v>724.82</v>
      </c>
      <c r="AU74" s="4">
        <v>0.0</v>
      </c>
      <c r="AV74" s="4">
        <v>0.0</v>
      </c>
      <c r="AW74" s="4">
        <v>0.0</v>
      </c>
      <c r="AX74" s="4">
        <v>0.0</v>
      </c>
      <c r="AY74" s="4">
        <v>0.0</v>
      </c>
      <c r="AZ74" s="4">
        <v>0.0</v>
      </c>
      <c r="BA74" s="4">
        <v>0.0</v>
      </c>
      <c r="BB74" s="4">
        <v>0.0</v>
      </c>
      <c r="BC74" s="4">
        <v>0.0</v>
      </c>
      <c r="BD74" s="4">
        <v>0.0</v>
      </c>
      <c r="BE74" s="4">
        <v>0.0</v>
      </c>
      <c r="BF74" s="4">
        <v>582.96</v>
      </c>
      <c r="BG74" s="4">
        <v>0.0</v>
      </c>
      <c r="BH74" s="4">
        <v>0.0</v>
      </c>
      <c r="BI74" s="4">
        <v>0.0</v>
      </c>
      <c r="BJ74" s="4">
        <v>0.0</v>
      </c>
      <c r="BK74" s="4">
        <v>0.0</v>
      </c>
      <c r="BL74" s="4">
        <v>0.0</v>
      </c>
    </row>
    <row r="75" ht="15.75" customHeight="1">
      <c r="A75" s="3"/>
      <c r="B75" s="3"/>
      <c r="C75" s="3"/>
      <c r="D75" s="3"/>
      <c r="E75" s="3"/>
      <c r="F75" s="3" t="s">
        <v>129</v>
      </c>
      <c r="G75" s="3"/>
      <c r="H75" s="4">
        <v>0.0</v>
      </c>
      <c r="I75" s="4">
        <v>0.0</v>
      </c>
      <c r="J75" s="4">
        <v>1478.37</v>
      </c>
      <c r="K75" s="4">
        <v>0.0</v>
      </c>
      <c r="L75" s="4">
        <v>3501.16</v>
      </c>
      <c r="M75" s="4">
        <v>0.0</v>
      </c>
      <c r="N75" s="4">
        <v>0.0</v>
      </c>
      <c r="O75" s="4">
        <v>1947.78</v>
      </c>
      <c r="P75" s="4">
        <v>0.0</v>
      </c>
      <c r="Q75" s="4">
        <v>0.0</v>
      </c>
      <c r="R75" s="4">
        <v>1661.71</v>
      </c>
      <c r="S75" s="4">
        <v>0.0</v>
      </c>
      <c r="T75" s="4">
        <v>0.0</v>
      </c>
      <c r="U75" s="4">
        <v>0.0</v>
      </c>
      <c r="V75" s="4">
        <v>1480.54</v>
      </c>
      <c r="W75" s="4">
        <v>535.32</v>
      </c>
      <c r="X75" s="4">
        <v>1700.53</v>
      </c>
      <c r="Y75" s="4">
        <v>0.0</v>
      </c>
      <c r="Z75" s="4">
        <v>0.0</v>
      </c>
      <c r="AA75" s="4">
        <v>2535.39</v>
      </c>
      <c r="AB75" s="4">
        <v>0.0</v>
      </c>
      <c r="AC75" s="4">
        <v>0.0</v>
      </c>
      <c r="AD75" s="4">
        <v>600.83</v>
      </c>
      <c r="AE75" s="4">
        <v>0.0</v>
      </c>
      <c r="AF75" s="4">
        <v>0.0</v>
      </c>
      <c r="AG75" s="4">
        <v>0.0</v>
      </c>
      <c r="AH75" s="4">
        <v>-51.49</v>
      </c>
      <c r="AI75" s="4">
        <v>1168.16</v>
      </c>
      <c r="AJ75" s="4">
        <v>2174.54</v>
      </c>
      <c r="AK75" s="4">
        <v>0.0</v>
      </c>
      <c r="AL75" s="4">
        <v>0.0</v>
      </c>
      <c r="AM75" s="4">
        <v>2468.07</v>
      </c>
      <c r="AN75" s="4">
        <v>0.0</v>
      </c>
      <c r="AO75" s="4">
        <v>0.0</v>
      </c>
      <c r="AP75" s="4">
        <v>2093.55</v>
      </c>
      <c r="AQ75" s="4">
        <v>0.0</v>
      </c>
      <c r="AR75" s="4">
        <v>0.0</v>
      </c>
      <c r="AS75" s="4">
        <v>2379.09</v>
      </c>
      <c r="AT75" s="4">
        <v>-570.83</v>
      </c>
      <c r="AU75" s="4">
        <v>1196.65</v>
      </c>
      <c r="AV75" s="4">
        <v>2192.79</v>
      </c>
      <c r="AW75" s="4">
        <v>0.0</v>
      </c>
      <c r="AX75" s="4">
        <v>0.0</v>
      </c>
      <c r="AY75" s="4">
        <v>3482.94</v>
      </c>
      <c r="AZ75" s="4">
        <v>0.0</v>
      </c>
      <c r="BA75" s="4">
        <v>0.0</v>
      </c>
      <c r="BB75" s="4">
        <v>1996.7</v>
      </c>
      <c r="BC75" s="4">
        <v>0.0</v>
      </c>
      <c r="BD75" s="4">
        <v>0.0</v>
      </c>
      <c r="BE75" s="4">
        <v>1864.08</v>
      </c>
      <c r="BF75" s="4">
        <v>690.18</v>
      </c>
      <c r="BG75" s="4">
        <v>0.0</v>
      </c>
      <c r="BH75" s="4">
        <v>0.0</v>
      </c>
      <c r="BI75" s="4">
        <v>1995.01</v>
      </c>
      <c r="BJ75" s="4">
        <v>0.0</v>
      </c>
      <c r="BK75" s="4">
        <v>6393.24</v>
      </c>
      <c r="BL75" s="4">
        <v>0.0</v>
      </c>
    </row>
    <row r="76" ht="15.75" customHeight="1">
      <c r="A76" s="3"/>
      <c r="B76" s="3"/>
      <c r="C76" s="3"/>
      <c r="D76" s="3"/>
      <c r="E76" s="3"/>
      <c r="F76" s="3" t="s">
        <v>130</v>
      </c>
      <c r="G76" s="3"/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0.0</v>
      </c>
      <c r="AK76" s="4">
        <v>0.0</v>
      </c>
      <c r="AL76" s="4">
        <v>0.0</v>
      </c>
      <c r="AM76" s="4">
        <v>0.0</v>
      </c>
      <c r="AN76" s="4">
        <v>0.0</v>
      </c>
      <c r="AO76" s="4">
        <v>0.0</v>
      </c>
      <c r="AP76" s="4">
        <v>0.0</v>
      </c>
      <c r="AQ76" s="4">
        <v>0.0</v>
      </c>
      <c r="AR76" s="4">
        <v>0.0</v>
      </c>
      <c r="AS76" s="4">
        <v>0.0</v>
      </c>
      <c r="AT76" s="4">
        <v>0.0</v>
      </c>
      <c r="AU76" s="4">
        <v>0.0</v>
      </c>
      <c r="AV76" s="4">
        <v>0.0</v>
      </c>
      <c r="AW76" s="4">
        <v>0.0</v>
      </c>
      <c r="AX76" s="4">
        <v>0.0</v>
      </c>
      <c r="AY76" s="4">
        <v>0.0</v>
      </c>
      <c r="AZ76" s="4">
        <v>0.0</v>
      </c>
      <c r="BA76" s="4">
        <v>0.0</v>
      </c>
      <c r="BB76" s="4">
        <v>0.0</v>
      </c>
      <c r="BC76" s="4">
        <v>0.0</v>
      </c>
      <c r="BD76" s="4">
        <v>0.0</v>
      </c>
      <c r="BE76" s="4">
        <v>0.0</v>
      </c>
      <c r="BF76" s="4">
        <v>0.0</v>
      </c>
      <c r="BG76" s="4">
        <v>0.0</v>
      </c>
      <c r="BH76" s="4">
        <v>0.0</v>
      </c>
      <c r="BI76" s="4">
        <v>0.0</v>
      </c>
      <c r="BJ76" s="4">
        <v>0.0</v>
      </c>
      <c r="BK76" s="4">
        <v>0.0</v>
      </c>
      <c r="BL76" s="4">
        <v>0.0</v>
      </c>
    </row>
    <row r="77" ht="15.75" customHeight="1">
      <c r="A77" s="3"/>
      <c r="B77" s="3"/>
      <c r="C77" s="3"/>
      <c r="D77" s="3"/>
      <c r="E77" s="3" t="s">
        <v>131</v>
      </c>
      <c r="F77" s="3"/>
      <c r="G77" s="3"/>
      <c r="H77" s="8">
        <f t="shared" ref="H77:I77" si="7">ROUND(H44+SUM(H48:H49)+SUM(H56:H58)+SUM(H67:H76),5)</f>
        <v>38233.07</v>
      </c>
      <c r="I77" s="8">
        <f t="shared" si="7"/>
        <v>37118.66</v>
      </c>
      <c r="J77" s="8">
        <f t="shared" ref="J77:BL77" si="8">ROUND(SUM(J47:J49)+SUM(J56:J58)+SUM(J67:J76),5)</f>
        <v>36520.99</v>
      </c>
      <c r="K77" s="8">
        <f t="shared" si="8"/>
        <v>37171.7</v>
      </c>
      <c r="L77" s="8">
        <f t="shared" si="8"/>
        <v>38539.47</v>
      </c>
      <c r="M77" s="8">
        <f t="shared" si="8"/>
        <v>62572.15</v>
      </c>
      <c r="N77" s="8">
        <f t="shared" si="8"/>
        <v>36306.63</v>
      </c>
      <c r="O77" s="8">
        <f t="shared" si="8"/>
        <v>47516.89</v>
      </c>
      <c r="P77" s="8">
        <f t="shared" si="8"/>
        <v>36383.28</v>
      </c>
      <c r="Q77" s="8">
        <f t="shared" si="8"/>
        <v>36395.76</v>
      </c>
      <c r="R77" s="8">
        <f t="shared" si="8"/>
        <v>50938.55</v>
      </c>
      <c r="S77" s="8">
        <f t="shared" si="8"/>
        <v>36763.44</v>
      </c>
      <c r="T77" s="8">
        <f t="shared" si="8"/>
        <v>35154.02</v>
      </c>
      <c r="U77" s="8">
        <f t="shared" si="8"/>
        <v>34636.02</v>
      </c>
      <c r="V77" s="8">
        <f t="shared" si="8"/>
        <v>171513.6</v>
      </c>
      <c r="W77" s="8">
        <f t="shared" si="8"/>
        <v>24889.66</v>
      </c>
      <c r="X77" s="8">
        <f t="shared" si="8"/>
        <v>31113.46</v>
      </c>
      <c r="Y77" s="8">
        <f t="shared" si="8"/>
        <v>25268.65</v>
      </c>
      <c r="Z77" s="8">
        <f t="shared" si="8"/>
        <v>13852.61</v>
      </c>
      <c r="AA77" s="8">
        <f t="shared" si="8"/>
        <v>35405.06</v>
      </c>
      <c r="AB77" s="8">
        <f t="shared" si="8"/>
        <v>33945.92</v>
      </c>
      <c r="AC77" s="8">
        <f t="shared" si="8"/>
        <v>-34096.38</v>
      </c>
      <c r="AD77" s="8">
        <f t="shared" si="8"/>
        <v>42578.78</v>
      </c>
      <c r="AE77" s="8">
        <f t="shared" si="8"/>
        <v>4485.3</v>
      </c>
      <c r="AF77" s="8">
        <f t="shared" si="8"/>
        <v>4802.81</v>
      </c>
      <c r="AG77" s="8">
        <f t="shared" si="8"/>
        <v>1350.96</v>
      </c>
      <c r="AH77" s="8">
        <f t="shared" si="8"/>
        <v>40558.46</v>
      </c>
      <c r="AI77" s="8">
        <f t="shared" si="8"/>
        <v>45593.23</v>
      </c>
      <c r="AJ77" s="8">
        <f t="shared" si="8"/>
        <v>65096.99</v>
      </c>
      <c r="AK77" s="8">
        <f t="shared" si="8"/>
        <v>44042.12</v>
      </c>
      <c r="AL77" s="8">
        <f t="shared" si="8"/>
        <v>41288.01</v>
      </c>
      <c r="AM77" s="8">
        <f t="shared" si="8"/>
        <v>44045.52</v>
      </c>
      <c r="AN77" s="8">
        <f t="shared" si="8"/>
        <v>42185.67</v>
      </c>
      <c r="AO77" s="8">
        <f t="shared" si="8"/>
        <v>61327.76</v>
      </c>
      <c r="AP77" s="8">
        <f t="shared" si="8"/>
        <v>38778.28</v>
      </c>
      <c r="AQ77" s="8">
        <f t="shared" si="8"/>
        <v>46499.9</v>
      </c>
      <c r="AR77" s="8">
        <f t="shared" si="8"/>
        <v>40749.57</v>
      </c>
      <c r="AS77" s="8">
        <f t="shared" si="8"/>
        <v>43372.84</v>
      </c>
      <c r="AT77" s="8">
        <f t="shared" si="8"/>
        <v>40136.66</v>
      </c>
      <c r="AU77" s="8">
        <f t="shared" si="8"/>
        <v>42488.39</v>
      </c>
      <c r="AV77" s="8">
        <f t="shared" si="8"/>
        <v>60730.15</v>
      </c>
      <c r="AW77" s="8">
        <f t="shared" si="8"/>
        <v>38791.98</v>
      </c>
      <c r="AX77" s="8">
        <f t="shared" si="8"/>
        <v>41174.96</v>
      </c>
      <c r="AY77" s="8">
        <f t="shared" si="8"/>
        <v>41935.22</v>
      </c>
      <c r="AZ77" s="8">
        <f t="shared" si="8"/>
        <v>37272.82</v>
      </c>
      <c r="BA77" s="8">
        <f t="shared" si="8"/>
        <v>56217.32</v>
      </c>
      <c r="BB77" s="8">
        <f t="shared" si="8"/>
        <v>37971.4</v>
      </c>
      <c r="BC77" s="8">
        <f t="shared" si="8"/>
        <v>35257.53</v>
      </c>
      <c r="BD77" s="8">
        <f t="shared" si="8"/>
        <v>33917.19</v>
      </c>
      <c r="BE77" s="8">
        <f t="shared" si="8"/>
        <v>40047.2</v>
      </c>
      <c r="BF77" s="8">
        <f t="shared" si="8"/>
        <v>36444.61</v>
      </c>
      <c r="BG77" s="8">
        <f t="shared" si="8"/>
        <v>30975.27</v>
      </c>
      <c r="BH77" s="8">
        <f t="shared" si="8"/>
        <v>49302.71</v>
      </c>
      <c r="BI77" s="8">
        <f t="shared" si="8"/>
        <v>30870.24</v>
      </c>
      <c r="BJ77" s="8">
        <f t="shared" si="8"/>
        <v>30094.44</v>
      </c>
      <c r="BK77" s="8">
        <f t="shared" si="8"/>
        <v>34230.91</v>
      </c>
      <c r="BL77" s="8">
        <f t="shared" si="8"/>
        <v>32077.92</v>
      </c>
    </row>
    <row r="78" ht="15.75" customHeight="1">
      <c r="A78" s="3"/>
      <c r="B78" s="3"/>
      <c r="C78" s="3"/>
      <c r="D78" s="3" t="s">
        <v>132</v>
      </c>
      <c r="E78" s="3"/>
      <c r="F78" s="3"/>
      <c r="G78" s="3"/>
      <c r="H78" s="6">
        <f t="shared" ref="H78:BL78" si="9">ROUND(SUM(H23:H24)+H46+H77,5)</f>
        <v>47802.71</v>
      </c>
      <c r="I78" s="6">
        <f t="shared" si="9"/>
        <v>46493.32</v>
      </c>
      <c r="J78" s="6">
        <f t="shared" si="9"/>
        <v>52318.98</v>
      </c>
      <c r="K78" s="6">
        <f t="shared" si="9"/>
        <v>46187.84</v>
      </c>
      <c r="L78" s="6">
        <f t="shared" si="9"/>
        <v>53427.28</v>
      </c>
      <c r="M78" s="6">
        <f t="shared" si="9"/>
        <v>71693.18</v>
      </c>
      <c r="N78" s="6">
        <f t="shared" si="9"/>
        <v>45342.79</v>
      </c>
      <c r="O78" s="6">
        <f t="shared" si="9"/>
        <v>58665.45</v>
      </c>
      <c r="P78" s="6">
        <f t="shared" si="9"/>
        <v>47500.36</v>
      </c>
      <c r="Q78" s="6">
        <f t="shared" si="9"/>
        <v>37259.65</v>
      </c>
      <c r="R78" s="6">
        <f t="shared" si="9"/>
        <v>54356.26</v>
      </c>
      <c r="S78" s="6">
        <f t="shared" si="9"/>
        <v>49933.93</v>
      </c>
      <c r="T78" s="6">
        <f t="shared" si="9"/>
        <v>48863.82</v>
      </c>
      <c r="U78" s="6">
        <f t="shared" si="9"/>
        <v>45846.74</v>
      </c>
      <c r="V78" s="6">
        <f t="shared" si="9"/>
        <v>172685.58</v>
      </c>
      <c r="W78" s="6">
        <f t="shared" si="9"/>
        <v>33657.19</v>
      </c>
      <c r="X78" s="6">
        <f t="shared" si="9"/>
        <v>45931.32</v>
      </c>
      <c r="Y78" s="6">
        <f t="shared" si="9"/>
        <v>39541.93</v>
      </c>
      <c r="Z78" s="6">
        <f t="shared" si="9"/>
        <v>19997.4</v>
      </c>
      <c r="AA78" s="6">
        <f t="shared" si="9"/>
        <v>38222.4</v>
      </c>
      <c r="AB78" s="6">
        <f t="shared" si="9"/>
        <v>65018.51</v>
      </c>
      <c r="AC78" s="6">
        <f t="shared" si="9"/>
        <v>-22595.64</v>
      </c>
      <c r="AD78" s="6">
        <f t="shared" si="9"/>
        <v>50926.61</v>
      </c>
      <c r="AE78" s="6">
        <f t="shared" si="9"/>
        <v>13502.19</v>
      </c>
      <c r="AF78" s="6">
        <f t="shared" si="9"/>
        <v>14234.13</v>
      </c>
      <c r="AG78" s="6">
        <f t="shared" si="9"/>
        <v>10207.36</v>
      </c>
      <c r="AH78" s="6">
        <f t="shared" si="9"/>
        <v>61253.18</v>
      </c>
      <c r="AI78" s="6">
        <f t="shared" si="9"/>
        <v>54461.8</v>
      </c>
      <c r="AJ78" s="6">
        <f t="shared" si="9"/>
        <v>78258.6</v>
      </c>
      <c r="AK78" s="6">
        <f t="shared" si="9"/>
        <v>56162.26</v>
      </c>
      <c r="AL78" s="6">
        <f t="shared" si="9"/>
        <v>50974.06</v>
      </c>
      <c r="AM78" s="6">
        <f t="shared" si="9"/>
        <v>55147.35</v>
      </c>
      <c r="AN78" s="6">
        <f t="shared" si="9"/>
        <v>52899.89</v>
      </c>
      <c r="AO78" s="6">
        <f t="shared" si="9"/>
        <v>73039.75</v>
      </c>
      <c r="AP78" s="6">
        <f t="shared" si="9"/>
        <v>51252.35</v>
      </c>
      <c r="AQ78" s="6">
        <f t="shared" si="9"/>
        <v>67818.19</v>
      </c>
      <c r="AR78" s="6">
        <f t="shared" si="9"/>
        <v>51889.92</v>
      </c>
      <c r="AS78" s="6">
        <f t="shared" si="9"/>
        <v>49511.86</v>
      </c>
      <c r="AT78" s="6">
        <f t="shared" si="9"/>
        <v>71464.81</v>
      </c>
      <c r="AU78" s="6">
        <f t="shared" si="9"/>
        <v>53088.57</v>
      </c>
      <c r="AV78" s="6">
        <f t="shared" si="9"/>
        <v>69115.55</v>
      </c>
      <c r="AW78" s="6">
        <f t="shared" si="9"/>
        <v>52356.42</v>
      </c>
      <c r="AX78" s="6">
        <f t="shared" si="9"/>
        <v>51741.54</v>
      </c>
      <c r="AY78" s="6">
        <f t="shared" si="9"/>
        <v>55020.26</v>
      </c>
      <c r="AZ78" s="6">
        <f t="shared" si="9"/>
        <v>46302.48</v>
      </c>
      <c r="BA78" s="6">
        <f t="shared" si="9"/>
        <v>67862.67</v>
      </c>
      <c r="BB78" s="6">
        <f t="shared" si="9"/>
        <v>47932.33</v>
      </c>
      <c r="BC78" s="6">
        <f t="shared" si="9"/>
        <v>45834.18</v>
      </c>
      <c r="BD78" s="6">
        <f t="shared" si="9"/>
        <v>43005.75</v>
      </c>
      <c r="BE78" s="6">
        <f t="shared" si="9"/>
        <v>50929.41</v>
      </c>
      <c r="BF78" s="6">
        <f t="shared" si="9"/>
        <v>60609.37</v>
      </c>
      <c r="BG78" s="6">
        <f t="shared" si="9"/>
        <v>41532.65</v>
      </c>
      <c r="BH78" s="6">
        <f t="shared" si="9"/>
        <v>57824.96</v>
      </c>
      <c r="BI78" s="6">
        <f t="shared" si="9"/>
        <v>40336.86</v>
      </c>
      <c r="BJ78" s="6">
        <f t="shared" si="9"/>
        <v>38320.53</v>
      </c>
      <c r="BK78" s="6">
        <f t="shared" si="9"/>
        <v>43264.33</v>
      </c>
      <c r="BL78" s="6">
        <f t="shared" si="9"/>
        <v>41211.9</v>
      </c>
    </row>
    <row r="79" ht="15.75" customHeight="1">
      <c r="A79" s="3"/>
      <c r="B79" s="3" t="s">
        <v>133</v>
      </c>
      <c r="C79" s="3"/>
      <c r="D79" s="3"/>
      <c r="E79" s="3"/>
      <c r="F79" s="3"/>
      <c r="G79" s="3"/>
      <c r="H79" s="4">
        <f t="shared" ref="H79:BL79" si="10">ROUND(H2+H22-H78,5)</f>
        <v>26393.97</v>
      </c>
      <c r="I79" s="4">
        <f t="shared" si="10"/>
        <v>22205.64</v>
      </c>
      <c r="J79" s="4">
        <f t="shared" si="10"/>
        <v>21112.98</v>
      </c>
      <c r="K79" s="4">
        <f t="shared" si="10"/>
        <v>20713.04</v>
      </c>
      <c r="L79" s="4">
        <f t="shared" si="10"/>
        <v>5453.35</v>
      </c>
      <c r="M79" s="4">
        <f t="shared" si="10"/>
        <v>-10324.13</v>
      </c>
      <c r="N79" s="4">
        <f t="shared" si="10"/>
        <v>24238.49</v>
      </c>
      <c r="O79" s="4">
        <f t="shared" si="10"/>
        <v>2104.89</v>
      </c>
      <c r="P79" s="4">
        <f t="shared" si="10"/>
        <v>17994.31</v>
      </c>
      <c r="Q79" s="4">
        <f t="shared" si="10"/>
        <v>85100.24</v>
      </c>
      <c r="R79" s="4">
        <f t="shared" si="10"/>
        <v>6079.88</v>
      </c>
      <c r="S79" s="4">
        <f t="shared" si="10"/>
        <v>5955.27</v>
      </c>
      <c r="T79" s="4">
        <f t="shared" si="10"/>
        <v>3723.89</v>
      </c>
      <c r="U79" s="4">
        <f t="shared" si="10"/>
        <v>8466.6</v>
      </c>
      <c r="V79" s="4">
        <f t="shared" si="10"/>
        <v>34142.22</v>
      </c>
      <c r="W79" s="4">
        <f t="shared" si="10"/>
        <v>21176.35</v>
      </c>
      <c r="X79" s="4">
        <f t="shared" si="10"/>
        <v>672.45</v>
      </c>
      <c r="Y79" s="4">
        <f t="shared" si="10"/>
        <v>-1472.19</v>
      </c>
      <c r="Z79" s="4">
        <f t="shared" si="10"/>
        <v>20302.76</v>
      </c>
      <c r="AA79" s="4">
        <f t="shared" si="10"/>
        <v>8467.7</v>
      </c>
      <c r="AB79" s="4">
        <f t="shared" si="10"/>
        <v>13694.41</v>
      </c>
      <c r="AC79" s="4">
        <f t="shared" si="10"/>
        <v>65760.18</v>
      </c>
      <c r="AD79" s="4">
        <f t="shared" si="10"/>
        <v>-17371.9</v>
      </c>
      <c r="AE79" s="4">
        <f t="shared" si="10"/>
        <v>21509.86</v>
      </c>
      <c r="AF79" s="4">
        <f t="shared" si="10"/>
        <v>2128.12</v>
      </c>
      <c r="AG79" s="4">
        <f t="shared" si="10"/>
        <v>-6368.86</v>
      </c>
      <c r="AH79" s="4">
        <f t="shared" si="10"/>
        <v>-26356.54</v>
      </c>
      <c r="AI79" s="4">
        <f t="shared" si="10"/>
        <v>21520.82</v>
      </c>
      <c r="AJ79" s="4">
        <f t="shared" si="10"/>
        <v>-21262.14</v>
      </c>
      <c r="AK79" s="4">
        <f t="shared" si="10"/>
        <v>9497.32</v>
      </c>
      <c r="AL79" s="4">
        <f t="shared" si="10"/>
        <v>18951.87</v>
      </c>
      <c r="AM79" s="4">
        <f t="shared" si="10"/>
        <v>15895.59</v>
      </c>
      <c r="AN79" s="4">
        <f t="shared" si="10"/>
        <v>19466.49</v>
      </c>
      <c r="AO79" s="4">
        <f t="shared" si="10"/>
        <v>-4497.91</v>
      </c>
      <c r="AP79" s="4">
        <f t="shared" si="10"/>
        <v>26815.4</v>
      </c>
      <c r="AQ79" s="4">
        <f t="shared" si="10"/>
        <v>-2368.14</v>
      </c>
      <c r="AR79" s="4">
        <f t="shared" si="10"/>
        <v>19327.05</v>
      </c>
      <c r="AS79" s="4">
        <f t="shared" si="10"/>
        <v>20804.44</v>
      </c>
      <c r="AT79" s="4">
        <f t="shared" si="10"/>
        <v>938.35</v>
      </c>
      <c r="AU79" s="4">
        <f t="shared" si="10"/>
        <v>216.83</v>
      </c>
      <c r="AV79" s="4">
        <f t="shared" si="10"/>
        <v>8465.67</v>
      </c>
      <c r="AW79" s="4">
        <f t="shared" si="10"/>
        <v>246.86</v>
      </c>
      <c r="AX79" s="4">
        <f t="shared" si="10"/>
        <v>22159.21</v>
      </c>
      <c r="AY79" s="4">
        <f t="shared" si="10"/>
        <v>20928.43</v>
      </c>
      <c r="AZ79" s="4">
        <f t="shared" si="10"/>
        <v>21128.64</v>
      </c>
      <c r="BA79" s="4">
        <f t="shared" si="10"/>
        <v>2866.31</v>
      </c>
      <c r="BB79" s="4">
        <f t="shared" si="10"/>
        <v>15242.38</v>
      </c>
      <c r="BC79" s="4">
        <f t="shared" si="10"/>
        <v>22366.61</v>
      </c>
      <c r="BD79" s="4">
        <f t="shared" si="10"/>
        <v>30974.45</v>
      </c>
      <c r="BE79" s="4">
        <f t="shared" si="10"/>
        <v>10323.27</v>
      </c>
      <c r="BF79" s="4">
        <f t="shared" si="10"/>
        <v>-3080.63</v>
      </c>
      <c r="BG79" s="4">
        <f t="shared" si="10"/>
        <v>11090.21</v>
      </c>
      <c r="BH79" s="4">
        <f t="shared" si="10"/>
        <v>4900.94</v>
      </c>
      <c r="BI79" s="4">
        <f t="shared" si="10"/>
        <v>10331.83</v>
      </c>
      <c r="BJ79" s="4">
        <f t="shared" si="10"/>
        <v>8156.24</v>
      </c>
      <c r="BK79" s="4">
        <f t="shared" si="10"/>
        <v>9293.58</v>
      </c>
      <c r="BL79" s="4">
        <f t="shared" si="10"/>
        <v>13978.33</v>
      </c>
    </row>
    <row r="80" ht="15.75" customHeight="1">
      <c r="A80" s="3"/>
      <c r="B80" s="3" t="s">
        <v>134</v>
      </c>
      <c r="C80" s="3"/>
      <c r="D80" s="3"/>
      <c r="E80" s="3"/>
      <c r="F80" s="3"/>
      <c r="G80" s="3"/>
      <c r="H80" s="4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ht="15.75" customHeight="1">
      <c r="A81" s="3"/>
      <c r="B81" s="3"/>
      <c r="C81" s="3" t="s">
        <v>63</v>
      </c>
      <c r="D81" s="3"/>
      <c r="E81" s="3"/>
      <c r="F81" s="3"/>
      <c r="G81" s="3"/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0.0</v>
      </c>
      <c r="AJ81" s="4">
        <v>0.0</v>
      </c>
      <c r="AK81" s="4">
        <v>0.0</v>
      </c>
      <c r="AL81" s="4">
        <v>0.0</v>
      </c>
      <c r="AM81" s="4">
        <v>0.0</v>
      </c>
      <c r="AN81" s="4">
        <v>0.0</v>
      </c>
      <c r="AO81" s="4">
        <v>0.0</v>
      </c>
      <c r="AP81" s="4">
        <v>0.0</v>
      </c>
      <c r="AQ81" s="4">
        <v>0.0</v>
      </c>
      <c r="AR81" s="4">
        <v>0.0</v>
      </c>
      <c r="AS81" s="4">
        <v>0.0</v>
      </c>
      <c r="AT81" s="4">
        <v>0.0</v>
      </c>
      <c r="AU81" s="4">
        <v>0.0</v>
      </c>
      <c r="AV81" s="4">
        <v>0.0</v>
      </c>
      <c r="AW81" s="4">
        <v>0.0</v>
      </c>
      <c r="AX81" s="4">
        <v>0.0</v>
      </c>
      <c r="AY81" s="4">
        <v>0.0</v>
      </c>
      <c r="AZ81" s="4">
        <v>0.0</v>
      </c>
      <c r="BA81" s="4">
        <v>0.0</v>
      </c>
      <c r="BB81" s="4">
        <v>0.0</v>
      </c>
      <c r="BC81" s="4">
        <v>0.0</v>
      </c>
      <c r="BD81" s="4">
        <v>0.0</v>
      </c>
      <c r="BE81" s="4">
        <v>0.0</v>
      </c>
      <c r="BF81" s="4">
        <v>0.0</v>
      </c>
      <c r="BG81" s="4">
        <v>0.0</v>
      </c>
      <c r="BH81" s="4">
        <v>0.0</v>
      </c>
      <c r="BI81" s="4">
        <v>0.0</v>
      </c>
      <c r="BJ81" s="4">
        <v>0.0</v>
      </c>
      <c r="BK81" s="4">
        <v>0.0</v>
      </c>
      <c r="BL81" s="4">
        <v>0.0</v>
      </c>
    </row>
    <row r="82" ht="15.75" customHeight="1">
      <c r="A82" s="3"/>
      <c r="B82" s="3"/>
      <c r="C82" s="3" t="s">
        <v>135</v>
      </c>
      <c r="D82" s="3"/>
      <c r="E82" s="3"/>
      <c r="F82" s="3"/>
      <c r="G82" s="3"/>
      <c r="H82" s="4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ht="15.75" customHeight="1">
      <c r="A83" s="3"/>
      <c r="B83" s="3"/>
      <c r="C83" s="3"/>
      <c r="D83" s="3" t="s">
        <v>136</v>
      </c>
      <c r="E83" s="3"/>
      <c r="F83" s="3"/>
      <c r="G83" s="3"/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  <c r="AF83" s="4">
        <v>0.0</v>
      </c>
      <c r="AG83" s="4">
        <v>0.0</v>
      </c>
      <c r="AH83" s="4">
        <v>0.0</v>
      </c>
      <c r="AI83" s="4">
        <v>0.0</v>
      </c>
      <c r="AJ83" s="4">
        <v>0.0</v>
      </c>
      <c r="AK83" s="4">
        <v>0.0</v>
      </c>
      <c r="AL83" s="4">
        <v>0.0</v>
      </c>
      <c r="AM83" s="4">
        <v>0.0</v>
      </c>
      <c r="AN83" s="4">
        <v>0.0</v>
      </c>
      <c r="AO83" s="4">
        <v>0.0</v>
      </c>
      <c r="AP83" s="4">
        <v>0.0</v>
      </c>
      <c r="AQ83" s="4">
        <v>0.0</v>
      </c>
      <c r="AR83" s="4">
        <v>0.0</v>
      </c>
      <c r="AS83" s="4">
        <v>0.0</v>
      </c>
      <c r="AT83" s="4">
        <v>0.0</v>
      </c>
      <c r="AU83" s="4">
        <v>0.0</v>
      </c>
      <c r="AV83" s="4">
        <v>0.0</v>
      </c>
      <c r="AW83" s="4">
        <v>0.0</v>
      </c>
      <c r="AX83" s="4">
        <v>0.0</v>
      </c>
      <c r="AY83" s="4">
        <v>0.0</v>
      </c>
      <c r="AZ83" s="4">
        <v>0.0</v>
      </c>
      <c r="BA83" s="4">
        <v>0.0</v>
      </c>
      <c r="BB83" s="4">
        <v>0.0</v>
      </c>
      <c r="BC83" s="4">
        <v>0.0</v>
      </c>
      <c r="BD83" s="4">
        <v>0.0</v>
      </c>
      <c r="BE83" s="4">
        <v>0.0</v>
      </c>
      <c r="BF83" s="4">
        <v>0.0</v>
      </c>
      <c r="BG83" s="4">
        <v>0.0</v>
      </c>
      <c r="BH83" s="4">
        <v>0.0</v>
      </c>
      <c r="BI83" s="4">
        <v>0.0</v>
      </c>
      <c r="BJ83" s="4">
        <v>0.0</v>
      </c>
      <c r="BK83" s="4">
        <v>0.0</v>
      </c>
      <c r="BL83" s="4">
        <v>0.0</v>
      </c>
    </row>
    <row r="84" ht="15.75" customHeight="1">
      <c r="A84" s="3"/>
      <c r="B84" s="3"/>
      <c r="C84" s="3"/>
      <c r="D84" s="3" t="s">
        <v>137</v>
      </c>
      <c r="E84" s="3"/>
      <c r="F84" s="3"/>
      <c r="G84" s="3"/>
      <c r="H84" s="4">
        <v>3244.0</v>
      </c>
      <c r="I84" s="4">
        <v>0.0</v>
      </c>
      <c r="J84" s="4">
        <v>3244.0</v>
      </c>
      <c r="K84" s="4">
        <v>0.0</v>
      </c>
      <c r="L84" s="4">
        <v>3244.0</v>
      </c>
      <c r="M84" s="4">
        <v>0.0</v>
      </c>
      <c r="N84" s="4">
        <v>1622.0</v>
      </c>
      <c r="O84" s="4">
        <v>1622.0</v>
      </c>
      <c r="P84" s="4">
        <v>3244.0</v>
      </c>
      <c r="Q84" s="4">
        <v>0.0</v>
      </c>
      <c r="R84" s="4">
        <v>3325.0</v>
      </c>
      <c r="S84" s="4">
        <v>567.0</v>
      </c>
      <c r="T84" s="4">
        <v>567.0</v>
      </c>
      <c r="U84" s="4">
        <v>567.0</v>
      </c>
      <c r="V84" s="4">
        <v>9819.0</v>
      </c>
      <c r="W84" s="4">
        <v>567.0</v>
      </c>
      <c r="X84" s="4">
        <v>567.0</v>
      </c>
      <c r="Y84" s="4">
        <v>567.0</v>
      </c>
      <c r="Z84" s="4">
        <v>567.0</v>
      </c>
      <c r="AA84" s="4">
        <v>567.0</v>
      </c>
      <c r="AB84" s="4">
        <v>3691.0</v>
      </c>
      <c r="AC84" s="4">
        <v>0.0</v>
      </c>
      <c r="AD84" s="4">
        <v>1655.0</v>
      </c>
      <c r="AE84" s="4">
        <v>0.0</v>
      </c>
      <c r="AF84" s="4">
        <v>0.0</v>
      </c>
      <c r="AG84" s="4">
        <v>0.0</v>
      </c>
      <c r="AH84" s="4">
        <v>-6121.0</v>
      </c>
      <c r="AI84" s="4">
        <v>1655.0</v>
      </c>
      <c r="AJ84" s="4">
        <v>1655.0</v>
      </c>
      <c r="AK84" s="4">
        <v>3310.0</v>
      </c>
      <c r="AL84" s="4">
        <v>0.0</v>
      </c>
      <c r="AM84" s="4">
        <v>1655.0</v>
      </c>
      <c r="AN84" s="4">
        <v>3310.0</v>
      </c>
      <c r="AO84" s="4">
        <v>0.0</v>
      </c>
      <c r="AP84" s="4">
        <v>1655.0</v>
      </c>
      <c r="AQ84" s="4">
        <v>2699.0</v>
      </c>
      <c r="AR84" s="4">
        <v>0.0</v>
      </c>
      <c r="AS84" s="4">
        <v>870.0</v>
      </c>
      <c r="AT84" s="4">
        <v>9233.0</v>
      </c>
      <c r="AU84" s="4">
        <v>870.0</v>
      </c>
      <c r="AV84" s="4">
        <v>870.0</v>
      </c>
      <c r="AW84" s="4">
        <v>1740.0</v>
      </c>
      <c r="AX84" s="4">
        <v>0.0</v>
      </c>
      <c r="AY84" s="4">
        <v>1740.0</v>
      </c>
      <c r="AZ84" s="4">
        <v>870.0</v>
      </c>
      <c r="BA84" s="4">
        <v>0.0</v>
      </c>
      <c r="BB84" s="4">
        <v>1740.0</v>
      </c>
      <c r="BC84" s="4">
        <v>934.0</v>
      </c>
      <c r="BD84" s="4">
        <v>0.0</v>
      </c>
      <c r="BE84" s="4">
        <v>467.0</v>
      </c>
      <c r="BF84" s="4">
        <v>6348.0</v>
      </c>
      <c r="BG84" s="4">
        <v>467.0</v>
      </c>
      <c r="BH84" s="4">
        <v>934.0</v>
      </c>
      <c r="BI84" s="4">
        <v>0.0</v>
      </c>
      <c r="BJ84" s="4">
        <v>467.0</v>
      </c>
      <c r="BK84" s="4">
        <v>3269.0</v>
      </c>
      <c r="BL84" s="4">
        <v>0.0</v>
      </c>
    </row>
    <row r="85" ht="15.75" customHeight="1">
      <c r="A85" s="3"/>
      <c r="B85" s="3"/>
      <c r="C85" s="3"/>
      <c r="D85" s="3" t="s">
        <v>138</v>
      </c>
      <c r="E85" s="3"/>
      <c r="F85" s="3"/>
      <c r="G85" s="3"/>
      <c r="H85" s="4">
        <v>0.0</v>
      </c>
      <c r="I85" s="4">
        <v>0.0</v>
      </c>
      <c r="J85" s="4">
        <v>116.32</v>
      </c>
      <c r="K85" s="4">
        <v>0.0</v>
      </c>
      <c r="L85" s="4">
        <v>0.0</v>
      </c>
      <c r="M85" s="4">
        <v>0.0</v>
      </c>
      <c r="N85" s="4">
        <v>0.01</v>
      </c>
      <c r="O85" s="4">
        <v>0.0</v>
      </c>
      <c r="P85" s="4">
        <v>0.0</v>
      </c>
      <c r="Q85" s="4">
        <v>0.01</v>
      </c>
      <c r="R85" s="4">
        <v>0.0</v>
      </c>
      <c r="S85" s="4">
        <v>0.0</v>
      </c>
      <c r="T85" s="4">
        <v>0.0</v>
      </c>
      <c r="U85" s="4">
        <v>0.0</v>
      </c>
      <c r="V85" s="4">
        <v>-8.03</v>
      </c>
      <c r="W85" s="4">
        <v>0.02</v>
      </c>
      <c r="X85" s="4">
        <v>0.0</v>
      </c>
      <c r="Y85" s="4">
        <v>20.52</v>
      </c>
      <c r="Z85" s="4">
        <v>0.0</v>
      </c>
      <c r="AA85" s="4">
        <v>0.0</v>
      </c>
      <c r="AB85" s="4">
        <v>-13.65</v>
      </c>
      <c r="AC85" s="4">
        <v>0.0</v>
      </c>
      <c r="AD85" s="4">
        <v>0.03</v>
      </c>
      <c r="AE85" s="4">
        <v>0.0</v>
      </c>
      <c r="AF85" s="4">
        <v>0.0</v>
      </c>
      <c r="AG85" s="4">
        <v>0.0</v>
      </c>
      <c r="AH85" s="4">
        <v>-31.26</v>
      </c>
      <c r="AI85" s="4">
        <v>0.0</v>
      </c>
      <c r="AJ85" s="4">
        <v>0.0</v>
      </c>
      <c r="AK85" s="4">
        <v>-0.01</v>
      </c>
      <c r="AL85" s="4">
        <v>-0.03</v>
      </c>
      <c r="AM85" s="4">
        <v>0.0</v>
      </c>
      <c r="AN85" s="4">
        <v>121.31</v>
      </c>
      <c r="AO85" s="4">
        <v>58.39</v>
      </c>
      <c r="AP85" s="4">
        <v>0.0</v>
      </c>
      <c r="AQ85" s="4">
        <v>0.0</v>
      </c>
      <c r="AR85" s="4">
        <v>0.0</v>
      </c>
      <c r="AS85" s="4">
        <v>0.0</v>
      </c>
      <c r="AT85" s="4">
        <v>40.96</v>
      </c>
      <c r="AU85" s="4">
        <v>0.0</v>
      </c>
      <c r="AV85" s="4">
        <v>-0.01</v>
      </c>
      <c r="AW85" s="4">
        <v>-0.02</v>
      </c>
      <c r="AX85" s="4">
        <v>-0.01</v>
      </c>
      <c r="AY85" s="4">
        <v>0.0</v>
      </c>
      <c r="AZ85" s="4">
        <v>112.64</v>
      </c>
      <c r="BA85" s="4">
        <v>0.0</v>
      </c>
      <c r="BB85" s="4">
        <v>0.0</v>
      </c>
      <c r="BC85" s="4">
        <v>-0.01</v>
      </c>
      <c r="BD85" s="4">
        <v>0.01</v>
      </c>
      <c r="BE85" s="4">
        <v>-0.01</v>
      </c>
      <c r="BF85" s="4">
        <v>-44.27</v>
      </c>
      <c r="BG85" s="4">
        <v>0.0</v>
      </c>
      <c r="BH85" s="4">
        <v>0.0</v>
      </c>
      <c r="BI85" s="4">
        <v>0.0</v>
      </c>
      <c r="BJ85" s="4">
        <v>0.0</v>
      </c>
      <c r="BK85" s="4">
        <v>0.0</v>
      </c>
      <c r="BL85" s="4">
        <v>53.37</v>
      </c>
    </row>
    <row r="86" ht="15.75" customHeight="1">
      <c r="A86" s="3"/>
      <c r="B86" s="3"/>
      <c r="C86" s="3"/>
      <c r="D86" s="3" t="s">
        <v>139</v>
      </c>
      <c r="E86" s="3"/>
      <c r="F86" s="3"/>
      <c r="G86" s="3"/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>
        <v>0.0</v>
      </c>
      <c r="AE86" s="4">
        <v>0.0</v>
      </c>
      <c r="AF86" s="4">
        <v>0.0</v>
      </c>
      <c r="AG86" s="4">
        <v>0.0</v>
      </c>
      <c r="AH86" s="4">
        <v>-81.71</v>
      </c>
      <c r="AI86" s="4">
        <v>0.0</v>
      </c>
      <c r="AJ86" s="4">
        <v>0.0</v>
      </c>
      <c r="AK86" s="4">
        <v>0.0</v>
      </c>
      <c r="AL86" s="4">
        <v>0.0</v>
      </c>
      <c r="AM86" s="4">
        <v>-101.65</v>
      </c>
      <c r="AN86" s="4">
        <v>0.0</v>
      </c>
      <c r="AO86" s="4">
        <v>0.0</v>
      </c>
      <c r="AP86" s="4">
        <v>183.36</v>
      </c>
      <c r="AQ86" s="4">
        <v>0.0</v>
      </c>
      <c r="AR86" s="4">
        <v>0.0</v>
      </c>
      <c r="AS86" s="4">
        <v>0.0</v>
      </c>
      <c r="AT86" s="4">
        <v>0.0</v>
      </c>
      <c r="AU86" s="4">
        <v>0.0</v>
      </c>
      <c r="AV86" s="4">
        <v>0.0</v>
      </c>
      <c r="AW86" s="4">
        <v>0.0</v>
      </c>
      <c r="AX86" s="4">
        <v>0.0</v>
      </c>
      <c r="AY86" s="4">
        <v>0.0</v>
      </c>
      <c r="AZ86" s="4">
        <v>0.0</v>
      </c>
      <c r="BA86" s="4">
        <v>0.0</v>
      </c>
      <c r="BB86" s="4">
        <v>0.0</v>
      </c>
      <c r="BC86" s="4">
        <v>0.0</v>
      </c>
      <c r="BD86" s="4">
        <v>0.0</v>
      </c>
      <c r="BE86" s="4">
        <v>0.0</v>
      </c>
      <c r="BF86" s="4">
        <v>0.0</v>
      </c>
      <c r="BG86" s="4">
        <v>0.0</v>
      </c>
      <c r="BH86" s="4">
        <v>0.0</v>
      </c>
      <c r="BI86" s="4">
        <v>0.0</v>
      </c>
      <c r="BJ86" s="4">
        <v>0.0</v>
      </c>
      <c r="BK86" s="4">
        <v>0.0</v>
      </c>
      <c r="BL86" s="4">
        <v>0.0</v>
      </c>
    </row>
    <row r="87" ht="15.75" customHeight="1">
      <c r="A87" s="3"/>
      <c r="B87" s="3"/>
      <c r="C87" s="3"/>
      <c r="D87" s="3" t="s">
        <v>140</v>
      </c>
      <c r="E87" s="3"/>
      <c r="F87" s="3"/>
      <c r="G87" s="3"/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  <c r="AD87" s="4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0.0</v>
      </c>
      <c r="AJ87" s="4">
        <v>0.0</v>
      </c>
      <c r="AK87" s="4">
        <v>0.0</v>
      </c>
      <c r="AL87" s="4">
        <v>0.0</v>
      </c>
      <c r="AM87" s="4">
        <v>0.0</v>
      </c>
      <c r="AN87" s="4">
        <v>-179.95</v>
      </c>
      <c r="AO87" s="4">
        <v>0.0</v>
      </c>
      <c r="AP87" s="4">
        <v>0.0</v>
      </c>
      <c r="AQ87" s="4">
        <v>0.0</v>
      </c>
      <c r="AR87" s="4">
        <v>0.0</v>
      </c>
      <c r="AS87" s="4">
        <v>0.0</v>
      </c>
      <c r="AT87" s="4">
        <v>0.0</v>
      </c>
      <c r="AU87" s="4">
        <v>0.0</v>
      </c>
      <c r="AV87" s="4">
        <v>0.0</v>
      </c>
      <c r="AW87" s="4">
        <v>0.0</v>
      </c>
      <c r="AX87" s="4">
        <v>0.0</v>
      </c>
      <c r="AY87" s="4">
        <v>0.0</v>
      </c>
      <c r="AZ87" s="4">
        <v>0.0</v>
      </c>
      <c r="BA87" s="4">
        <v>0.0</v>
      </c>
      <c r="BB87" s="4">
        <v>0.0</v>
      </c>
      <c r="BC87" s="4">
        <v>0.0</v>
      </c>
      <c r="BD87" s="4">
        <v>0.0</v>
      </c>
      <c r="BE87" s="4">
        <v>0.0</v>
      </c>
      <c r="BF87" s="4">
        <v>0.0</v>
      </c>
      <c r="BG87" s="4">
        <v>0.0</v>
      </c>
      <c r="BH87" s="4">
        <v>0.0</v>
      </c>
      <c r="BI87" s="4">
        <v>0.0</v>
      </c>
      <c r="BJ87" s="4">
        <v>0.0</v>
      </c>
      <c r="BK87" s="4">
        <v>0.0</v>
      </c>
      <c r="BL87" s="4">
        <v>0.0</v>
      </c>
    </row>
    <row r="88" ht="15.75" customHeight="1">
      <c r="A88" s="3"/>
      <c r="B88" s="3"/>
      <c r="C88" s="3"/>
      <c r="D88" s="3" t="s">
        <v>141</v>
      </c>
      <c r="E88" s="3"/>
      <c r="F88" s="3"/>
      <c r="G88" s="3"/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-1193.35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0.0</v>
      </c>
      <c r="AG88" s="4">
        <v>0.0</v>
      </c>
      <c r="AH88" s="4">
        <v>360.34</v>
      </c>
      <c r="AI88" s="4">
        <v>0.0</v>
      </c>
      <c r="AJ88" s="4">
        <v>0.0</v>
      </c>
      <c r="AK88" s="4">
        <v>0.0</v>
      </c>
      <c r="AL88" s="4">
        <v>0.0</v>
      </c>
      <c r="AM88" s="4">
        <v>0.0</v>
      </c>
      <c r="AN88" s="4">
        <v>0.0</v>
      </c>
      <c r="AO88" s="4">
        <v>0.0</v>
      </c>
      <c r="AP88" s="4">
        <v>0.0</v>
      </c>
      <c r="AQ88" s="4">
        <v>0.0</v>
      </c>
      <c r="AR88" s="4">
        <v>0.0</v>
      </c>
      <c r="AS88" s="4">
        <v>0.0</v>
      </c>
      <c r="AT88" s="4">
        <v>0.0</v>
      </c>
      <c r="AU88" s="4">
        <v>0.0</v>
      </c>
      <c r="AV88" s="4">
        <v>0.0</v>
      </c>
      <c r="AW88" s="4">
        <v>0.0</v>
      </c>
      <c r="AX88" s="4">
        <v>0.0</v>
      </c>
      <c r="AY88" s="4">
        <v>0.0</v>
      </c>
      <c r="AZ88" s="4">
        <v>0.0</v>
      </c>
      <c r="BA88" s="4">
        <v>0.0</v>
      </c>
      <c r="BB88" s="4">
        <v>0.0</v>
      </c>
      <c r="BC88" s="4">
        <v>0.0</v>
      </c>
      <c r="BD88" s="4">
        <v>0.0</v>
      </c>
      <c r="BE88" s="4">
        <v>0.0</v>
      </c>
      <c r="BF88" s="4">
        <v>0.0</v>
      </c>
      <c r="BG88" s="4">
        <v>0.0</v>
      </c>
      <c r="BH88" s="4">
        <v>0.0</v>
      </c>
      <c r="BI88" s="4">
        <v>0.0</v>
      </c>
      <c r="BJ88" s="4">
        <v>0.0</v>
      </c>
      <c r="BK88" s="4">
        <v>0.0</v>
      </c>
      <c r="BL88" s="4">
        <v>0.0</v>
      </c>
    </row>
    <row r="89" ht="15.75" customHeight="1">
      <c r="A89" s="3"/>
      <c r="B89" s="3"/>
      <c r="C89" s="3" t="s">
        <v>142</v>
      </c>
      <c r="D89" s="3"/>
      <c r="E89" s="3"/>
      <c r="F89" s="3"/>
      <c r="G89" s="3"/>
      <c r="H89" s="8">
        <f t="shared" ref="H89:BL89" si="11">ROUND(SUM(H82:H88),5)</f>
        <v>3244</v>
      </c>
      <c r="I89" s="8">
        <f t="shared" si="11"/>
        <v>0</v>
      </c>
      <c r="J89" s="8">
        <f t="shared" si="11"/>
        <v>3360.32</v>
      </c>
      <c r="K89" s="8">
        <f t="shared" si="11"/>
        <v>0</v>
      </c>
      <c r="L89" s="8">
        <f t="shared" si="11"/>
        <v>3244</v>
      </c>
      <c r="M89" s="8">
        <f t="shared" si="11"/>
        <v>0</v>
      </c>
      <c r="N89" s="8">
        <f t="shared" si="11"/>
        <v>1622.01</v>
      </c>
      <c r="O89" s="8">
        <f t="shared" si="11"/>
        <v>1622</v>
      </c>
      <c r="P89" s="8">
        <f t="shared" si="11"/>
        <v>3244</v>
      </c>
      <c r="Q89" s="8">
        <f t="shared" si="11"/>
        <v>0.01</v>
      </c>
      <c r="R89" s="8">
        <f t="shared" si="11"/>
        <v>3325</v>
      </c>
      <c r="S89" s="8">
        <f t="shared" si="11"/>
        <v>567</v>
      </c>
      <c r="T89" s="8">
        <f t="shared" si="11"/>
        <v>567</v>
      </c>
      <c r="U89" s="8">
        <f t="shared" si="11"/>
        <v>567</v>
      </c>
      <c r="V89" s="8">
        <f t="shared" si="11"/>
        <v>8617.62</v>
      </c>
      <c r="W89" s="8">
        <f t="shared" si="11"/>
        <v>567.02</v>
      </c>
      <c r="X89" s="8">
        <f t="shared" si="11"/>
        <v>567</v>
      </c>
      <c r="Y89" s="8">
        <f t="shared" si="11"/>
        <v>587.52</v>
      </c>
      <c r="Z89" s="8">
        <f t="shared" si="11"/>
        <v>567</v>
      </c>
      <c r="AA89" s="8">
        <f t="shared" si="11"/>
        <v>567</v>
      </c>
      <c r="AB89" s="8">
        <f t="shared" si="11"/>
        <v>3677.35</v>
      </c>
      <c r="AC89" s="8">
        <f t="shared" si="11"/>
        <v>0</v>
      </c>
      <c r="AD89" s="8">
        <f t="shared" si="11"/>
        <v>1655.03</v>
      </c>
      <c r="AE89" s="8">
        <f t="shared" si="11"/>
        <v>0</v>
      </c>
      <c r="AF89" s="8">
        <f t="shared" si="11"/>
        <v>0</v>
      </c>
      <c r="AG89" s="8">
        <f t="shared" si="11"/>
        <v>0</v>
      </c>
      <c r="AH89" s="8">
        <f t="shared" si="11"/>
        <v>-5873.63</v>
      </c>
      <c r="AI89" s="8">
        <f t="shared" si="11"/>
        <v>1655</v>
      </c>
      <c r="AJ89" s="8">
        <f t="shared" si="11"/>
        <v>1655</v>
      </c>
      <c r="AK89" s="8">
        <f t="shared" si="11"/>
        <v>3309.99</v>
      </c>
      <c r="AL89" s="8">
        <f t="shared" si="11"/>
        <v>-0.03</v>
      </c>
      <c r="AM89" s="8">
        <f t="shared" si="11"/>
        <v>1553.35</v>
      </c>
      <c r="AN89" s="8">
        <f t="shared" si="11"/>
        <v>3251.36</v>
      </c>
      <c r="AO89" s="8">
        <f t="shared" si="11"/>
        <v>58.39</v>
      </c>
      <c r="AP89" s="8">
        <f t="shared" si="11"/>
        <v>1838.36</v>
      </c>
      <c r="AQ89" s="8">
        <f t="shared" si="11"/>
        <v>2699</v>
      </c>
      <c r="AR89" s="8">
        <f t="shared" si="11"/>
        <v>0</v>
      </c>
      <c r="AS89" s="8">
        <f t="shared" si="11"/>
        <v>870</v>
      </c>
      <c r="AT89" s="8">
        <f t="shared" si="11"/>
        <v>9273.96</v>
      </c>
      <c r="AU89" s="8">
        <f t="shared" si="11"/>
        <v>870</v>
      </c>
      <c r="AV89" s="8">
        <f t="shared" si="11"/>
        <v>869.99</v>
      </c>
      <c r="AW89" s="8">
        <f t="shared" si="11"/>
        <v>1739.98</v>
      </c>
      <c r="AX89" s="8">
        <f t="shared" si="11"/>
        <v>-0.01</v>
      </c>
      <c r="AY89" s="8">
        <f t="shared" si="11"/>
        <v>1740</v>
      </c>
      <c r="AZ89" s="8">
        <f t="shared" si="11"/>
        <v>982.64</v>
      </c>
      <c r="BA89" s="8">
        <f t="shared" si="11"/>
        <v>0</v>
      </c>
      <c r="BB89" s="8">
        <f t="shared" si="11"/>
        <v>1740</v>
      </c>
      <c r="BC89" s="8">
        <f t="shared" si="11"/>
        <v>933.99</v>
      </c>
      <c r="BD89" s="8">
        <f t="shared" si="11"/>
        <v>0.01</v>
      </c>
      <c r="BE89" s="8">
        <f t="shared" si="11"/>
        <v>466.99</v>
      </c>
      <c r="BF89" s="8">
        <f t="shared" si="11"/>
        <v>6303.73</v>
      </c>
      <c r="BG89" s="8">
        <f t="shared" si="11"/>
        <v>467</v>
      </c>
      <c r="BH89" s="8">
        <f t="shared" si="11"/>
        <v>934</v>
      </c>
      <c r="BI89" s="8">
        <f t="shared" si="11"/>
        <v>0</v>
      </c>
      <c r="BJ89" s="8">
        <f t="shared" si="11"/>
        <v>467</v>
      </c>
      <c r="BK89" s="8">
        <f t="shared" si="11"/>
        <v>3269</v>
      </c>
      <c r="BL89" s="8">
        <f t="shared" si="11"/>
        <v>53.37</v>
      </c>
    </row>
    <row r="90" ht="15.75" customHeight="1">
      <c r="A90" s="3"/>
      <c r="B90" s="3" t="s">
        <v>143</v>
      </c>
      <c r="C90" s="3"/>
      <c r="D90" s="3"/>
      <c r="E90" s="3"/>
      <c r="F90" s="3"/>
      <c r="G90" s="3"/>
      <c r="H90" s="8">
        <f t="shared" ref="H90:BL90" si="12">ROUND(SUM(H80:H81)-H89,5)</f>
        <v>-3244</v>
      </c>
      <c r="I90" s="8">
        <f t="shared" si="12"/>
        <v>0</v>
      </c>
      <c r="J90" s="8">
        <f t="shared" si="12"/>
        <v>-3360.32</v>
      </c>
      <c r="K90" s="8">
        <f t="shared" si="12"/>
        <v>0</v>
      </c>
      <c r="L90" s="8">
        <f t="shared" si="12"/>
        <v>-3244</v>
      </c>
      <c r="M90" s="8">
        <f t="shared" si="12"/>
        <v>0</v>
      </c>
      <c r="N90" s="8">
        <f t="shared" si="12"/>
        <v>-1622.01</v>
      </c>
      <c r="O90" s="8">
        <f t="shared" si="12"/>
        <v>-1622</v>
      </c>
      <c r="P90" s="8">
        <f t="shared" si="12"/>
        <v>-3244</v>
      </c>
      <c r="Q90" s="8">
        <f t="shared" si="12"/>
        <v>-0.01</v>
      </c>
      <c r="R90" s="8">
        <f t="shared" si="12"/>
        <v>-3325</v>
      </c>
      <c r="S90" s="8">
        <f t="shared" si="12"/>
        <v>-567</v>
      </c>
      <c r="T90" s="8">
        <f t="shared" si="12"/>
        <v>-567</v>
      </c>
      <c r="U90" s="8">
        <f t="shared" si="12"/>
        <v>-567</v>
      </c>
      <c r="V90" s="8">
        <f t="shared" si="12"/>
        <v>-8617.62</v>
      </c>
      <c r="W90" s="8">
        <f t="shared" si="12"/>
        <v>-567.02</v>
      </c>
      <c r="X90" s="8">
        <f t="shared" si="12"/>
        <v>-567</v>
      </c>
      <c r="Y90" s="8">
        <f t="shared" si="12"/>
        <v>-587.52</v>
      </c>
      <c r="Z90" s="8">
        <f t="shared" si="12"/>
        <v>-567</v>
      </c>
      <c r="AA90" s="8">
        <f t="shared" si="12"/>
        <v>-567</v>
      </c>
      <c r="AB90" s="8">
        <f t="shared" si="12"/>
        <v>-3677.35</v>
      </c>
      <c r="AC90" s="8">
        <f t="shared" si="12"/>
        <v>0</v>
      </c>
      <c r="AD90" s="8">
        <f t="shared" si="12"/>
        <v>-1655.03</v>
      </c>
      <c r="AE90" s="8">
        <f t="shared" si="12"/>
        <v>0</v>
      </c>
      <c r="AF90" s="8">
        <f t="shared" si="12"/>
        <v>0</v>
      </c>
      <c r="AG90" s="8">
        <f t="shared" si="12"/>
        <v>0</v>
      </c>
      <c r="AH90" s="8">
        <f t="shared" si="12"/>
        <v>5873.63</v>
      </c>
      <c r="AI90" s="8">
        <f t="shared" si="12"/>
        <v>-1655</v>
      </c>
      <c r="AJ90" s="8">
        <f t="shared" si="12"/>
        <v>-1655</v>
      </c>
      <c r="AK90" s="8">
        <f t="shared" si="12"/>
        <v>-3309.99</v>
      </c>
      <c r="AL90" s="8">
        <f t="shared" si="12"/>
        <v>0.03</v>
      </c>
      <c r="AM90" s="8">
        <f t="shared" si="12"/>
        <v>-1553.35</v>
      </c>
      <c r="AN90" s="8">
        <f t="shared" si="12"/>
        <v>-3251.36</v>
      </c>
      <c r="AO90" s="8">
        <f t="shared" si="12"/>
        <v>-58.39</v>
      </c>
      <c r="AP90" s="8">
        <f t="shared" si="12"/>
        <v>-1838.36</v>
      </c>
      <c r="AQ90" s="8">
        <f t="shared" si="12"/>
        <v>-2699</v>
      </c>
      <c r="AR90" s="8">
        <f t="shared" si="12"/>
        <v>0</v>
      </c>
      <c r="AS90" s="8">
        <f t="shared" si="12"/>
        <v>-870</v>
      </c>
      <c r="AT90" s="8">
        <f t="shared" si="12"/>
        <v>-9273.96</v>
      </c>
      <c r="AU90" s="8">
        <f t="shared" si="12"/>
        <v>-870</v>
      </c>
      <c r="AV90" s="8">
        <f t="shared" si="12"/>
        <v>-869.99</v>
      </c>
      <c r="AW90" s="8">
        <f t="shared" si="12"/>
        <v>-1739.98</v>
      </c>
      <c r="AX90" s="8">
        <f t="shared" si="12"/>
        <v>0.01</v>
      </c>
      <c r="AY90" s="8">
        <f t="shared" si="12"/>
        <v>-1740</v>
      </c>
      <c r="AZ90" s="8">
        <f t="shared" si="12"/>
        <v>-982.64</v>
      </c>
      <c r="BA90" s="8">
        <f t="shared" si="12"/>
        <v>0</v>
      </c>
      <c r="BB90" s="8">
        <f t="shared" si="12"/>
        <v>-1740</v>
      </c>
      <c r="BC90" s="8">
        <f t="shared" si="12"/>
        <v>-933.99</v>
      </c>
      <c r="BD90" s="8">
        <f t="shared" si="12"/>
        <v>-0.01</v>
      </c>
      <c r="BE90" s="8">
        <f t="shared" si="12"/>
        <v>-466.99</v>
      </c>
      <c r="BF90" s="8">
        <f t="shared" si="12"/>
        <v>-6303.73</v>
      </c>
      <c r="BG90" s="8">
        <f t="shared" si="12"/>
        <v>-467</v>
      </c>
      <c r="BH90" s="8">
        <f t="shared" si="12"/>
        <v>-934</v>
      </c>
      <c r="BI90" s="8">
        <f t="shared" si="12"/>
        <v>0</v>
      </c>
      <c r="BJ90" s="8">
        <f t="shared" si="12"/>
        <v>-467</v>
      </c>
      <c r="BK90" s="8">
        <f t="shared" si="12"/>
        <v>-3269</v>
      </c>
      <c r="BL90" s="8">
        <f t="shared" si="12"/>
        <v>-53.37</v>
      </c>
    </row>
    <row r="91" ht="15.75" customHeight="1">
      <c r="A91" s="3" t="s">
        <v>144</v>
      </c>
      <c r="B91" s="3"/>
      <c r="C91" s="3"/>
      <c r="D91" s="3"/>
      <c r="E91" s="3"/>
      <c r="F91" s="3"/>
      <c r="G91" s="3"/>
      <c r="H91" s="9">
        <f t="shared" ref="H91:BL91" si="13">ROUND(H79+H90,5)</f>
        <v>23149.97</v>
      </c>
      <c r="I91" s="9">
        <f t="shared" si="13"/>
        <v>22205.64</v>
      </c>
      <c r="J91" s="9">
        <f t="shared" si="13"/>
        <v>17752.66</v>
      </c>
      <c r="K91" s="9">
        <f t="shared" si="13"/>
        <v>20713.04</v>
      </c>
      <c r="L91" s="9">
        <f t="shared" si="13"/>
        <v>2209.35</v>
      </c>
      <c r="M91" s="9">
        <f t="shared" si="13"/>
        <v>-10324.13</v>
      </c>
      <c r="N91" s="9">
        <f t="shared" si="13"/>
        <v>22616.48</v>
      </c>
      <c r="O91" s="9">
        <f t="shared" si="13"/>
        <v>482.89</v>
      </c>
      <c r="P91" s="9">
        <f t="shared" si="13"/>
        <v>14750.31</v>
      </c>
      <c r="Q91" s="9">
        <f t="shared" si="13"/>
        <v>85100.23</v>
      </c>
      <c r="R91" s="9">
        <f t="shared" si="13"/>
        <v>2754.88</v>
      </c>
      <c r="S91" s="9">
        <f t="shared" si="13"/>
        <v>5388.27</v>
      </c>
      <c r="T91" s="9">
        <f t="shared" si="13"/>
        <v>3156.89</v>
      </c>
      <c r="U91" s="9">
        <f t="shared" si="13"/>
        <v>7899.6</v>
      </c>
      <c r="V91" s="9">
        <f t="shared" si="13"/>
        <v>25524.6</v>
      </c>
      <c r="W91" s="9">
        <f t="shared" si="13"/>
        <v>20609.33</v>
      </c>
      <c r="X91" s="9">
        <f t="shared" si="13"/>
        <v>105.45</v>
      </c>
      <c r="Y91" s="9">
        <f t="shared" si="13"/>
        <v>-2059.71</v>
      </c>
      <c r="Z91" s="9">
        <f t="shared" si="13"/>
        <v>19735.76</v>
      </c>
      <c r="AA91" s="9">
        <f t="shared" si="13"/>
        <v>7900.7</v>
      </c>
      <c r="AB91" s="9">
        <f t="shared" si="13"/>
        <v>10017.06</v>
      </c>
      <c r="AC91" s="9">
        <f t="shared" si="13"/>
        <v>65760.18</v>
      </c>
      <c r="AD91" s="9">
        <f t="shared" si="13"/>
        <v>-19026.93</v>
      </c>
      <c r="AE91" s="9">
        <f t="shared" si="13"/>
        <v>21509.86</v>
      </c>
      <c r="AF91" s="9">
        <f t="shared" si="13"/>
        <v>2128.12</v>
      </c>
      <c r="AG91" s="9">
        <f t="shared" si="13"/>
        <v>-6368.86</v>
      </c>
      <c r="AH91" s="9">
        <f t="shared" si="13"/>
        <v>-20482.91</v>
      </c>
      <c r="AI91" s="9">
        <f t="shared" si="13"/>
        <v>19865.82</v>
      </c>
      <c r="AJ91" s="9">
        <f t="shared" si="13"/>
        <v>-22917.14</v>
      </c>
      <c r="AK91" s="9">
        <f t="shared" si="13"/>
        <v>6187.33</v>
      </c>
      <c r="AL91" s="9">
        <f t="shared" si="13"/>
        <v>18951.9</v>
      </c>
      <c r="AM91" s="9">
        <f t="shared" si="13"/>
        <v>14342.24</v>
      </c>
      <c r="AN91" s="9">
        <f t="shared" si="13"/>
        <v>16215.13</v>
      </c>
      <c r="AO91" s="9">
        <f t="shared" si="13"/>
        <v>-4556.3</v>
      </c>
      <c r="AP91" s="9">
        <f t="shared" si="13"/>
        <v>24977.04</v>
      </c>
      <c r="AQ91" s="9">
        <f t="shared" si="13"/>
        <v>-5067.14</v>
      </c>
      <c r="AR91" s="9">
        <f t="shared" si="13"/>
        <v>19327.05</v>
      </c>
      <c r="AS91" s="9">
        <f t="shared" si="13"/>
        <v>19934.44</v>
      </c>
      <c r="AT91" s="9">
        <f t="shared" si="13"/>
        <v>-8335.61</v>
      </c>
      <c r="AU91" s="9">
        <f t="shared" si="13"/>
        <v>-653.17</v>
      </c>
      <c r="AV91" s="9">
        <f t="shared" si="13"/>
        <v>7595.68</v>
      </c>
      <c r="AW91" s="9">
        <f t="shared" si="13"/>
        <v>-1493.12</v>
      </c>
      <c r="AX91" s="9">
        <f t="shared" si="13"/>
        <v>22159.22</v>
      </c>
      <c r="AY91" s="9">
        <f t="shared" si="13"/>
        <v>19188.43</v>
      </c>
      <c r="AZ91" s="9">
        <f t="shared" si="13"/>
        <v>20146</v>
      </c>
      <c r="BA91" s="9">
        <f t="shared" si="13"/>
        <v>2866.31</v>
      </c>
      <c r="BB91" s="9">
        <f t="shared" si="13"/>
        <v>13502.38</v>
      </c>
      <c r="BC91" s="9">
        <f t="shared" si="13"/>
        <v>21432.62</v>
      </c>
      <c r="BD91" s="9">
        <f t="shared" si="13"/>
        <v>30974.44</v>
      </c>
      <c r="BE91" s="9">
        <f t="shared" si="13"/>
        <v>9856.28</v>
      </c>
      <c r="BF91" s="9">
        <f t="shared" si="13"/>
        <v>-9384.36</v>
      </c>
      <c r="BG91" s="9">
        <f t="shared" si="13"/>
        <v>10623.21</v>
      </c>
      <c r="BH91" s="9">
        <f t="shared" si="13"/>
        <v>3966.94</v>
      </c>
      <c r="BI91" s="9">
        <f t="shared" si="13"/>
        <v>10331.83</v>
      </c>
      <c r="BJ91" s="9">
        <f t="shared" si="13"/>
        <v>7689.24</v>
      </c>
      <c r="BK91" s="9">
        <f t="shared" si="13"/>
        <v>6024.58</v>
      </c>
      <c r="BL91" s="9">
        <f t="shared" si="13"/>
        <v>13924.96</v>
      </c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L92" s="10"/>
      <c r="M92" s="10"/>
      <c r="N92" s="10"/>
      <c r="O92" s="10"/>
      <c r="P92" s="10"/>
      <c r="Q92" s="11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L93" s="10"/>
      <c r="M93" s="10"/>
      <c r="N93" s="10"/>
      <c r="O93" s="10"/>
      <c r="P93" s="10"/>
      <c r="Q93" s="11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L94" s="10"/>
      <c r="M94" s="10"/>
      <c r="N94" s="10"/>
      <c r="O94" s="10"/>
      <c r="P94" s="10"/>
      <c r="Q94" s="11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L95" s="10"/>
      <c r="M95" s="10"/>
      <c r="N95" s="10"/>
      <c r="O95" s="10"/>
      <c r="P95" s="10"/>
      <c r="Q95" s="11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L96" s="10"/>
      <c r="M96" s="10"/>
      <c r="N96" s="10"/>
      <c r="O96" s="10"/>
      <c r="P96" s="10"/>
      <c r="Q96" s="11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L97" s="10"/>
      <c r="M97" s="10"/>
      <c r="N97" s="10"/>
      <c r="O97" s="10"/>
      <c r="P97" s="10"/>
      <c r="Q97" s="11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L98" s="10"/>
      <c r="M98" s="10"/>
      <c r="N98" s="10"/>
      <c r="O98" s="10"/>
      <c r="P98" s="10"/>
      <c r="Q98" s="11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L99" s="10"/>
      <c r="M99" s="10"/>
      <c r="N99" s="10"/>
      <c r="O99" s="10"/>
      <c r="P99" s="10"/>
      <c r="Q99" s="11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L100" s="10"/>
      <c r="M100" s="10"/>
      <c r="N100" s="10"/>
      <c r="O100" s="10"/>
      <c r="P100" s="10"/>
      <c r="Q100" s="11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L101" s="10"/>
      <c r="M101" s="10"/>
      <c r="N101" s="10"/>
      <c r="O101" s="10"/>
      <c r="P101" s="10"/>
      <c r="Q101" s="11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L102" s="10"/>
      <c r="M102" s="10"/>
      <c r="N102" s="10"/>
      <c r="O102" s="10"/>
      <c r="P102" s="10"/>
      <c r="Q102" s="11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L103" s="10"/>
      <c r="M103" s="10"/>
      <c r="N103" s="10"/>
      <c r="O103" s="10"/>
      <c r="P103" s="10"/>
      <c r="Q103" s="11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L104" s="10"/>
      <c r="M104" s="10"/>
      <c r="N104" s="10"/>
      <c r="O104" s="10"/>
      <c r="P104" s="10"/>
      <c r="Q104" s="11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L105" s="10"/>
      <c r="M105" s="10"/>
      <c r="N105" s="10"/>
      <c r="O105" s="10"/>
      <c r="P105" s="10"/>
      <c r="Q105" s="11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L106" s="10"/>
      <c r="M106" s="10"/>
      <c r="N106" s="10"/>
      <c r="O106" s="10"/>
      <c r="P106" s="10"/>
      <c r="Q106" s="11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L107" s="10"/>
      <c r="M107" s="10"/>
      <c r="N107" s="10"/>
      <c r="O107" s="10"/>
      <c r="P107" s="10"/>
      <c r="Q107" s="11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L108" s="10"/>
      <c r="M108" s="10"/>
      <c r="N108" s="10"/>
      <c r="O108" s="10"/>
      <c r="P108" s="10"/>
      <c r="Q108" s="11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L109" s="10"/>
      <c r="M109" s="10"/>
      <c r="N109" s="10"/>
      <c r="O109" s="10"/>
      <c r="P109" s="10"/>
      <c r="Q109" s="11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L110" s="10"/>
      <c r="M110" s="10"/>
      <c r="N110" s="10"/>
      <c r="O110" s="10"/>
      <c r="P110" s="10"/>
      <c r="Q110" s="11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L111" s="10"/>
      <c r="M111" s="10"/>
      <c r="N111" s="10"/>
      <c r="O111" s="10"/>
      <c r="P111" s="10"/>
      <c r="Q111" s="11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L112" s="10"/>
      <c r="M112" s="10"/>
      <c r="N112" s="10"/>
      <c r="O112" s="10"/>
      <c r="P112" s="10"/>
      <c r="Q112" s="11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L113" s="10"/>
      <c r="M113" s="10"/>
      <c r="N113" s="10"/>
      <c r="O113" s="10"/>
      <c r="P113" s="10"/>
      <c r="Q113" s="11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L114" s="10"/>
      <c r="M114" s="10"/>
      <c r="N114" s="10"/>
      <c r="O114" s="10"/>
      <c r="P114" s="10"/>
      <c r="Q114" s="11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L115" s="10"/>
      <c r="M115" s="10"/>
      <c r="N115" s="10"/>
      <c r="O115" s="10"/>
      <c r="P115" s="10"/>
      <c r="Q115" s="11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L116" s="10"/>
      <c r="M116" s="10"/>
      <c r="N116" s="10"/>
      <c r="O116" s="10"/>
      <c r="P116" s="10"/>
      <c r="Q116" s="11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L117" s="10"/>
      <c r="M117" s="10"/>
      <c r="N117" s="10"/>
      <c r="O117" s="10"/>
      <c r="P117" s="10"/>
      <c r="Q117" s="11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L118" s="10"/>
      <c r="M118" s="10"/>
      <c r="N118" s="10"/>
      <c r="O118" s="10"/>
      <c r="P118" s="10"/>
      <c r="Q118" s="11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L119" s="10"/>
      <c r="M119" s="10"/>
      <c r="N119" s="10"/>
      <c r="O119" s="10"/>
      <c r="P119" s="10"/>
      <c r="Q119" s="11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L120" s="10"/>
      <c r="M120" s="10"/>
      <c r="N120" s="10"/>
      <c r="O120" s="10"/>
      <c r="P120" s="10"/>
      <c r="Q120" s="11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L121" s="10"/>
      <c r="M121" s="10"/>
      <c r="N121" s="10"/>
      <c r="O121" s="10"/>
      <c r="P121" s="10"/>
      <c r="Q121" s="11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L122" s="10"/>
      <c r="M122" s="10"/>
      <c r="N122" s="10"/>
      <c r="O122" s="10"/>
      <c r="P122" s="10"/>
      <c r="Q122" s="11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L123" s="10"/>
      <c r="M123" s="10"/>
      <c r="N123" s="10"/>
      <c r="O123" s="10"/>
      <c r="P123" s="10"/>
      <c r="Q123" s="11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L124" s="10"/>
      <c r="M124" s="10"/>
      <c r="N124" s="10"/>
      <c r="O124" s="10"/>
      <c r="P124" s="10"/>
      <c r="Q124" s="11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L125" s="10"/>
      <c r="M125" s="10"/>
      <c r="N125" s="10"/>
      <c r="O125" s="10"/>
      <c r="P125" s="10"/>
      <c r="Q125" s="11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L126" s="10"/>
      <c r="M126" s="10"/>
      <c r="N126" s="10"/>
      <c r="O126" s="10"/>
      <c r="P126" s="10"/>
      <c r="Q126" s="11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L127" s="10"/>
      <c r="M127" s="10"/>
      <c r="N127" s="10"/>
      <c r="O127" s="10"/>
      <c r="P127" s="10"/>
      <c r="Q127" s="11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L128" s="10"/>
      <c r="M128" s="10"/>
      <c r="N128" s="10"/>
      <c r="O128" s="10"/>
      <c r="P128" s="10"/>
      <c r="Q128" s="11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L129" s="10"/>
      <c r="M129" s="10"/>
      <c r="N129" s="10"/>
      <c r="O129" s="10"/>
      <c r="P129" s="10"/>
      <c r="Q129" s="11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L130" s="10"/>
      <c r="M130" s="10"/>
      <c r="N130" s="10"/>
      <c r="O130" s="10"/>
      <c r="P130" s="10"/>
      <c r="Q130" s="11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L131" s="10"/>
      <c r="M131" s="10"/>
      <c r="N131" s="10"/>
      <c r="O131" s="10"/>
      <c r="P131" s="10"/>
      <c r="Q131" s="11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L132" s="10"/>
      <c r="M132" s="10"/>
      <c r="N132" s="10"/>
      <c r="O132" s="10"/>
      <c r="P132" s="10"/>
      <c r="Q132" s="11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L133" s="10"/>
      <c r="M133" s="10"/>
      <c r="N133" s="10"/>
      <c r="O133" s="10"/>
      <c r="P133" s="10"/>
      <c r="Q133" s="11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L134" s="10"/>
      <c r="M134" s="10"/>
      <c r="N134" s="10"/>
      <c r="O134" s="10"/>
      <c r="P134" s="10"/>
      <c r="Q134" s="11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L135" s="10"/>
      <c r="M135" s="10"/>
      <c r="N135" s="10"/>
      <c r="O135" s="10"/>
      <c r="P135" s="10"/>
      <c r="Q135" s="11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L136" s="10"/>
      <c r="M136" s="10"/>
      <c r="N136" s="10"/>
      <c r="O136" s="10"/>
      <c r="P136" s="10"/>
      <c r="Q136" s="11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L137" s="10"/>
      <c r="M137" s="10"/>
      <c r="N137" s="10"/>
      <c r="O137" s="10"/>
      <c r="P137" s="10"/>
      <c r="Q137" s="11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L138" s="10"/>
      <c r="M138" s="10"/>
      <c r="N138" s="10"/>
      <c r="O138" s="10"/>
      <c r="P138" s="10"/>
      <c r="Q138" s="11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L139" s="10"/>
      <c r="M139" s="10"/>
      <c r="N139" s="10"/>
      <c r="O139" s="10"/>
      <c r="P139" s="10"/>
      <c r="Q139" s="11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L140" s="10"/>
      <c r="M140" s="10"/>
      <c r="N140" s="10"/>
      <c r="O140" s="10"/>
      <c r="P140" s="10"/>
      <c r="Q140" s="11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L141" s="10"/>
      <c r="M141" s="10"/>
      <c r="N141" s="10"/>
      <c r="O141" s="10"/>
      <c r="P141" s="10"/>
      <c r="Q141" s="11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L142" s="10"/>
      <c r="M142" s="10"/>
      <c r="N142" s="10"/>
      <c r="O142" s="10"/>
      <c r="P142" s="10"/>
      <c r="Q142" s="11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L143" s="10"/>
      <c r="M143" s="10"/>
      <c r="N143" s="10"/>
      <c r="O143" s="10"/>
      <c r="P143" s="10"/>
      <c r="Q143" s="11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L144" s="10"/>
      <c r="M144" s="10"/>
      <c r="N144" s="10"/>
      <c r="O144" s="10"/>
      <c r="P144" s="10"/>
      <c r="Q144" s="11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L145" s="10"/>
      <c r="M145" s="10"/>
      <c r="N145" s="10"/>
      <c r="O145" s="10"/>
      <c r="P145" s="10"/>
      <c r="Q145" s="11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L146" s="10"/>
      <c r="M146" s="10"/>
      <c r="N146" s="10"/>
      <c r="O146" s="10"/>
      <c r="P146" s="10"/>
      <c r="Q146" s="11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L147" s="10"/>
      <c r="M147" s="10"/>
      <c r="N147" s="10"/>
      <c r="O147" s="10"/>
      <c r="P147" s="10"/>
      <c r="Q147" s="11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L148" s="10"/>
      <c r="M148" s="10"/>
      <c r="N148" s="10"/>
      <c r="O148" s="10"/>
      <c r="P148" s="10"/>
      <c r="Q148" s="11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L149" s="10"/>
      <c r="M149" s="10"/>
      <c r="N149" s="10"/>
      <c r="O149" s="10"/>
      <c r="P149" s="10"/>
      <c r="Q149" s="11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L150" s="10"/>
      <c r="M150" s="10"/>
      <c r="N150" s="10"/>
      <c r="O150" s="10"/>
      <c r="P150" s="10"/>
      <c r="Q150" s="11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L151" s="10"/>
      <c r="M151" s="10"/>
      <c r="N151" s="10"/>
      <c r="O151" s="10"/>
      <c r="P151" s="10"/>
      <c r="Q151" s="11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L152" s="10"/>
      <c r="M152" s="10"/>
      <c r="N152" s="10"/>
      <c r="O152" s="10"/>
      <c r="P152" s="10"/>
      <c r="Q152" s="11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L153" s="10"/>
      <c r="M153" s="10"/>
      <c r="N153" s="10"/>
      <c r="O153" s="10"/>
      <c r="P153" s="10"/>
      <c r="Q153" s="11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L154" s="10"/>
      <c r="M154" s="10"/>
      <c r="N154" s="10"/>
      <c r="O154" s="10"/>
      <c r="P154" s="10"/>
      <c r="Q154" s="11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L155" s="10"/>
      <c r="M155" s="10"/>
      <c r="N155" s="10"/>
      <c r="O155" s="10"/>
      <c r="P155" s="10"/>
      <c r="Q155" s="11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L156" s="10"/>
      <c r="M156" s="10"/>
      <c r="N156" s="10"/>
      <c r="O156" s="10"/>
      <c r="P156" s="10"/>
      <c r="Q156" s="11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L157" s="10"/>
      <c r="M157" s="10"/>
      <c r="N157" s="10"/>
      <c r="O157" s="10"/>
      <c r="P157" s="10"/>
      <c r="Q157" s="11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L158" s="10"/>
      <c r="M158" s="10"/>
      <c r="N158" s="10"/>
      <c r="O158" s="10"/>
      <c r="P158" s="10"/>
      <c r="Q158" s="11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L159" s="10"/>
      <c r="M159" s="10"/>
      <c r="N159" s="10"/>
      <c r="O159" s="10"/>
      <c r="P159" s="10"/>
      <c r="Q159" s="11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L160" s="10"/>
      <c r="M160" s="10"/>
      <c r="N160" s="10"/>
      <c r="O160" s="10"/>
      <c r="P160" s="10"/>
      <c r="Q160" s="11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L161" s="10"/>
      <c r="M161" s="10"/>
      <c r="N161" s="10"/>
      <c r="O161" s="10"/>
      <c r="P161" s="10"/>
      <c r="Q161" s="11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L162" s="10"/>
      <c r="M162" s="10"/>
      <c r="N162" s="10"/>
      <c r="O162" s="10"/>
      <c r="P162" s="10"/>
      <c r="Q162" s="11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L163" s="10"/>
      <c r="M163" s="10"/>
      <c r="N163" s="10"/>
      <c r="O163" s="10"/>
      <c r="P163" s="10"/>
      <c r="Q163" s="11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L164" s="10"/>
      <c r="M164" s="10"/>
      <c r="N164" s="10"/>
      <c r="O164" s="10"/>
      <c r="P164" s="10"/>
      <c r="Q164" s="11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L165" s="10"/>
      <c r="M165" s="10"/>
      <c r="N165" s="10"/>
      <c r="O165" s="10"/>
      <c r="P165" s="10"/>
      <c r="Q165" s="11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L166" s="10"/>
      <c r="M166" s="10"/>
      <c r="N166" s="10"/>
      <c r="O166" s="10"/>
      <c r="P166" s="10"/>
      <c r="Q166" s="11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L167" s="10"/>
      <c r="M167" s="10"/>
      <c r="N167" s="10"/>
      <c r="O167" s="10"/>
      <c r="P167" s="10"/>
      <c r="Q167" s="11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L168" s="10"/>
      <c r="M168" s="10"/>
      <c r="N168" s="10"/>
      <c r="O168" s="10"/>
      <c r="P168" s="10"/>
      <c r="Q168" s="11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L169" s="10"/>
      <c r="M169" s="10"/>
      <c r="N169" s="10"/>
      <c r="O169" s="10"/>
      <c r="P169" s="10"/>
      <c r="Q169" s="11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L170" s="10"/>
      <c r="M170" s="10"/>
      <c r="N170" s="10"/>
      <c r="O170" s="10"/>
      <c r="P170" s="10"/>
      <c r="Q170" s="11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L171" s="10"/>
      <c r="M171" s="10"/>
      <c r="N171" s="10"/>
      <c r="O171" s="10"/>
      <c r="P171" s="10"/>
      <c r="Q171" s="11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L172" s="10"/>
      <c r="M172" s="10"/>
      <c r="N172" s="10"/>
      <c r="O172" s="10"/>
      <c r="P172" s="10"/>
      <c r="Q172" s="11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L173" s="10"/>
      <c r="M173" s="10"/>
      <c r="N173" s="10"/>
      <c r="O173" s="10"/>
      <c r="P173" s="10"/>
      <c r="Q173" s="11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L174" s="10"/>
      <c r="M174" s="10"/>
      <c r="N174" s="10"/>
      <c r="O174" s="10"/>
      <c r="P174" s="10"/>
      <c r="Q174" s="11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L175" s="10"/>
      <c r="M175" s="10"/>
      <c r="N175" s="10"/>
      <c r="O175" s="10"/>
      <c r="P175" s="10"/>
      <c r="Q175" s="11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L176" s="10"/>
      <c r="M176" s="10"/>
      <c r="N176" s="10"/>
      <c r="O176" s="10"/>
      <c r="P176" s="10"/>
      <c r="Q176" s="11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L177" s="10"/>
      <c r="M177" s="10"/>
      <c r="N177" s="10"/>
      <c r="O177" s="10"/>
      <c r="P177" s="10"/>
      <c r="Q177" s="11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L178" s="10"/>
      <c r="M178" s="10"/>
      <c r="N178" s="10"/>
      <c r="O178" s="10"/>
      <c r="P178" s="10"/>
      <c r="Q178" s="11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L179" s="10"/>
      <c r="M179" s="10"/>
      <c r="N179" s="10"/>
      <c r="O179" s="10"/>
      <c r="P179" s="10"/>
      <c r="Q179" s="11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L180" s="10"/>
      <c r="M180" s="10"/>
      <c r="N180" s="10"/>
      <c r="O180" s="10"/>
      <c r="P180" s="10"/>
      <c r="Q180" s="11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L181" s="10"/>
      <c r="M181" s="10"/>
      <c r="N181" s="10"/>
      <c r="O181" s="10"/>
      <c r="P181" s="10"/>
      <c r="Q181" s="11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L182" s="10"/>
      <c r="M182" s="10"/>
      <c r="N182" s="10"/>
      <c r="O182" s="10"/>
      <c r="P182" s="10"/>
      <c r="Q182" s="11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L183" s="10"/>
      <c r="M183" s="10"/>
      <c r="N183" s="10"/>
      <c r="O183" s="10"/>
      <c r="P183" s="10"/>
      <c r="Q183" s="11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L184" s="10"/>
      <c r="M184" s="10"/>
      <c r="N184" s="10"/>
      <c r="O184" s="10"/>
      <c r="P184" s="10"/>
      <c r="Q184" s="11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L185" s="10"/>
      <c r="M185" s="10"/>
      <c r="N185" s="10"/>
      <c r="O185" s="10"/>
      <c r="P185" s="10"/>
      <c r="Q185" s="11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L186" s="10"/>
      <c r="M186" s="10"/>
      <c r="N186" s="10"/>
      <c r="O186" s="10"/>
      <c r="P186" s="10"/>
      <c r="Q186" s="11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L187" s="10"/>
      <c r="M187" s="10"/>
      <c r="N187" s="10"/>
      <c r="O187" s="10"/>
      <c r="P187" s="10"/>
      <c r="Q187" s="11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L188" s="10"/>
      <c r="M188" s="10"/>
      <c r="N188" s="10"/>
      <c r="O188" s="10"/>
      <c r="P188" s="10"/>
      <c r="Q188" s="11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L189" s="10"/>
      <c r="M189" s="10"/>
      <c r="N189" s="10"/>
      <c r="O189" s="10"/>
      <c r="P189" s="10"/>
      <c r="Q189" s="11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L190" s="10"/>
      <c r="M190" s="10"/>
      <c r="N190" s="10"/>
      <c r="O190" s="10"/>
      <c r="P190" s="10"/>
      <c r="Q190" s="11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L191" s="10"/>
      <c r="M191" s="10"/>
      <c r="N191" s="10"/>
      <c r="O191" s="10"/>
      <c r="P191" s="10"/>
      <c r="Q191" s="11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L192" s="10"/>
      <c r="M192" s="10"/>
      <c r="N192" s="10"/>
      <c r="O192" s="10"/>
      <c r="P192" s="10"/>
      <c r="Q192" s="11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L193" s="10"/>
      <c r="M193" s="10"/>
      <c r="N193" s="10"/>
      <c r="O193" s="10"/>
      <c r="P193" s="10"/>
      <c r="Q193" s="11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L194" s="10"/>
      <c r="M194" s="10"/>
      <c r="N194" s="10"/>
      <c r="O194" s="10"/>
      <c r="P194" s="10"/>
      <c r="Q194" s="11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L195" s="10"/>
      <c r="M195" s="10"/>
      <c r="N195" s="10"/>
      <c r="O195" s="10"/>
      <c r="P195" s="10"/>
      <c r="Q195" s="11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L196" s="10"/>
      <c r="M196" s="10"/>
      <c r="N196" s="10"/>
      <c r="O196" s="10"/>
      <c r="P196" s="10"/>
      <c r="Q196" s="11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L197" s="10"/>
      <c r="M197" s="10"/>
      <c r="N197" s="10"/>
      <c r="O197" s="10"/>
      <c r="P197" s="10"/>
      <c r="Q197" s="11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L198" s="10"/>
      <c r="M198" s="10"/>
      <c r="N198" s="10"/>
      <c r="O198" s="10"/>
      <c r="P198" s="10"/>
      <c r="Q198" s="11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L199" s="10"/>
      <c r="M199" s="10"/>
      <c r="N199" s="10"/>
      <c r="O199" s="10"/>
      <c r="P199" s="10"/>
      <c r="Q199" s="11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L200" s="10"/>
      <c r="M200" s="10"/>
      <c r="N200" s="10"/>
      <c r="O200" s="10"/>
      <c r="P200" s="10"/>
      <c r="Q200" s="11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L201" s="10"/>
      <c r="M201" s="10"/>
      <c r="N201" s="10"/>
      <c r="O201" s="10"/>
      <c r="P201" s="10"/>
      <c r="Q201" s="11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L202" s="10"/>
      <c r="M202" s="10"/>
      <c r="N202" s="10"/>
      <c r="O202" s="10"/>
      <c r="P202" s="10"/>
      <c r="Q202" s="11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L203" s="10"/>
      <c r="M203" s="10"/>
      <c r="N203" s="10"/>
      <c r="O203" s="10"/>
      <c r="P203" s="10"/>
      <c r="Q203" s="11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L204" s="10"/>
      <c r="M204" s="10"/>
      <c r="N204" s="10"/>
      <c r="O204" s="10"/>
      <c r="P204" s="10"/>
      <c r="Q204" s="11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L205" s="10"/>
      <c r="M205" s="10"/>
      <c r="N205" s="10"/>
      <c r="O205" s="10"/>
      <c r="P205" s="10"/>
      <c r="Q205" s="11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L206" s="10"/>
      <c r="M206" s="10"/>
      <c r="N206" s="10"/>
      <c r="O206" s="10"/>
      <c r="P206" s="10"/>
      <c r="Q206" s="11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L207" s="10"/>
      <c r="M207" s="10"/>
      <c r="N207" s="10"/>
      <c r="O207" s="10"/>
      <c r="P207" s="10"/>
      <c r="Q207" s="11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L208" s="10"/>
      <c r="M208" s="10"/>
      <c r="N208" s="10"/>
      <c r="O208" s="10"/>
      <c r="P208" s="10"/>
      <c r="Q208" s="11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L209" s="10"/>
      <c r="M209" s="10"/>
      <c r="N209" s="10"/>
      <c r="O209" s="10"/>
      <c r="P209" s="10"/>
      <c r="Q209" s="11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L210" s="10"/>
      <c r="M210" s="10"/>
      <c r="N210" s="10"/>
      <c r="O210" s="10"/>
      <c r="P210" s="10"/>
      <c r="Q210" s="11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L211" s="10"/>
      <c r="M211" s="10"/>
      <c r="N211" s="10"/>
      <c r="O211" s="10"/>
      <c r="P211" s="10"/>
      <c r="Q211" s="11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L212" s="10"/>
      <c r="M212" s="10"/>
      <c r="N212" s="10"/>
      <c r="O212" s="10"/>
      <c r="P212" s="10"/>
      <c r="Q212" s="11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L213" s="10"/>
      <c r="M213" s="10"/>
      <c r="N213" s="10"/>
      <c r="O213" s="10"/>
      <c r="P213" s="10"/>
      <c r="Q213" s="11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L214" s="10"/>
      <c r="M214" s="10"/>
      <c r="N214" s="10"/>
      <c r="O214" s="10"/>
      <c r="P214" s="10"/>
      <c r="Q214" s="11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L215" s="10"/>
      <c r="M215" s="10"/>
      <c r="N215" s="10"/>
      <c r="O215" s="10"/>
      <c r="P215" s="10"/>
      <c r="Q215" s="11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L216" s="10"/>
      <c r="M216" s="10"/>
      <c r="N216" s="10"/>
      <c r="O216" s="10"/>
      <c r="P216" s="10"/>
      <c r="Q216" s="11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L217" s="10"/>
      <c r="M217" s="10"/>
      <c r="N217" s="10"/>
      <c r="O217" s="10"/>
      <c r="P217" s="10"/>
      <c r="Q217" s="11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L218" s="10"/>
      <c r="M218" s="10"/>
      <c r="N218" s="10"/>
      <c r="O218" s="10"/>
      <c r="P218" s="10"/>
      <c r="Q218" s="11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L219" s="10"/>
      <c r="M219" s="10"/>
      <c r="N219" s="10"/>
      <c r="O219" s="10"/>
      <c r="P219" s="10"/>
      <c r="Q219" s="11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L220" s="10"/>
      <c r="M220" s="10"/>
      <c r="N220" s="10"/>
      <c r="O220" s="10"/>
      <c r="P220" s="10"/>
      <c r="Q220" s="11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L221" s="10"/>
      <c r="M221" s="10"/>
      <c r="N221" s="10"/>
      <c r="O221" s="10"/>
      <c r="P221" s="10"/>
      <c r="Q221" s="11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L222" s="10"/>
      <c r="M222" s="10"/>
      <c r="N222" s="10"/>
      <c r="O222" s="10"/>
      <c r="P222" s="10"/>
      <c r="Q222" s="11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L223" s="10"/>
      <c r="M223" s="10"/>
      <c r="N223" s="10"/>
      <c r="O223" s="10"/>
      <c r="P223" s="10"/>
      <c r="Q223" s="11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L224" s="10"/>
      <c r="M224" s="10"/>
      <c r="N224" s="10"/>
      <c r="O224" s="10"/>
      <c r="P224" s="10"/>
      <c r="Q224" s="11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L225" s="10"/>
      <c r="M225" s="10"/>
      <c r="N225" s="10"/>
      <c r="O225" s="10"/>
      <c r="P225" s="10"/>
      <c r="Q225" s="11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L226" s="10"/>
      <c r="M226" s="10"/>
      <c r="N226" s="10"/>
      <c r="O226" s="10"/>
      <c r="P226" s="10"/>
      <c r="Q226" s="11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L227" s="10"/>
      <c r="M227" s="10"/>
      <c r="N227" s="10"/>
      <c r="O227" s="10"/>
      <c r="P227" s="10"/>
      <c r="Q227" s="11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L228" s="10"/>
      <c r="M228" s="10"/>
      <c r="N228" s="10"/>
      <c r="O228" s="10"/>
      <c r="P228" s="10"/>
      <c r="Q228" s="11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L229" s="10"/>
      <c r="M229" s="10"/>
      <c r="N229" s="10"/>
      <c r="O229" s="10"/>
      <c r="P229" s="10"/>
      <c r="Q229" s="11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L230" s="10"/>
      <c r="M230" s="10"/>
      <c r="N230" s="10"/>
      <c r="O230" s="10"/>
      <c r="P230" s="10"/>
      <c r="Q230" s="11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L231" s="10"/>
      <c r="M231" s="10"/>
      <c r="N231" s="10"/>
      <c r="O231" s="10"/>
      <c r="P231" s="10"/>
      <c r="Q231" s="11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L232" s="10"/>
      <c r="M232" s="10"/>
      <c r="N232" s="10"/>
      <c r="O232" s="10"/>
      <c r="P232" s="10"/>
      <c r="Q232" s="11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L233" s="10"/>
      <c r="M233" s="10"/>
      <c r="N233" s="10"/>
      <c r="O233" s="10"/>
      <c r="P233" s="10"/>
      <c r="Q233" s="11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L234" s="10"/>
      <c r="M234" s="10"/>
      <c r="N234" s="10"/>
      <c r="O234" s="10"/>
      <c r="P234" s="10"/>
      <c r="Q234" s="11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L235" s="10"/>
      <c r="M235" s="10"/>
      <c r="N235" s="10"/>
      <c r="O235" s="10"/>
      <c r="P235" s="10"/>
      <c r="Q235" s="11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L236" s="10"/>
      <c r="M236" s="10"/>
      <c r="N236" s="10"/>
      <c r="O236" s="10"/>
      <c r="P236" s="10"/>
      <c r="Q236" s="11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L237" s="10"/>
      <c r="M237" s="10"/>
      <c r="N237" s="10"/>
      <c r="O237" s="10"/>
      <c r="P237" s="10"/>
      <c r="Q237" s="11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L238" s="10"/>
      <c r="M238" s="10"/>
      <c r="N238" s="10"/>
      <c r="O238" s="10"/>
      <c r="P238" s="10"/>
      <c r="Q238" s="11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L239" s="10"/>
      <c r="M239" s="10"/>
      <c r="N239" s="10"/>
      <c r="O239" s="10"/>
      <c r="P239" s="10"/>
      <c r="Q239" s="11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L240" s="10"/>
      <c r="M240" s="10"/>
      <c r="N240" s="10"/>
      <c r="O240" s="10"/>
      <c r="P240" s="10"/>
      <c r="Q240" s="11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L241" s="10"/>
      <c r="M241" s="10"/>
      <c r="N241" s="10"/>
      <c r="O241" s="10"/>
      <c r="P241" s="10"/>
      <c r="Q241" s="11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L242" s="10"/>
      <c r="M242" s="10"/>
      <c r="N242" s="10"/>
      <c r="O242" s="10"/>
      <c r="P242" s="10"/>
      <c r="Q242" s="11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L243" s="10"/>
      <c r="M243" s="10"/>
      <c r="N243" s="10"/>
      <c r="O243" s="10"/>
      <c r="P243" s="10"/>
      <c r="Q243" s="11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L244" s="10"/>
      <c r="M244" s="10"/>
      <c r="N244" s="10"/>
      <c r="O244" s="10"/>
      <c r="P244" s="10"/>
      <c r="Q244" s="11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L245" s="10"/>
      <c r="M245" s="10"/>
      <c r="N245" s="10"/>
      <c r="O245" s="10"/>
      <c r="P245" s="10"/>
      <c r="Q245" s="11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L246" s="10"/>
      <c r="M246" s="10"/>
      <c r="N246" s="10"/>
      <c r="O246" s="10"/>
      <c r="P246" s="10"/>
      <c r="Q246" s="11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L247" s="10"/>
      <c r="M247" s="10"/>
      <c r="N247" s="10"/>
      <c r="O247" s="10"/>
      <c r="P247" s="10"/>
      <c r="Q247" s="11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L248" s="10"/>
      <c r="M248" s="10"/>
      <c r="N248" s="10"/>
      <c r="O248" s="10"/>
      <c r="P248" s="10"/>
      <c r="Q248" s="11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L249" s="10"/>
      <c r="M249" s="10"/>
      <c r="N249" s="10"/>
      <c r="O249" s="10"/>
      <c r="P249" s="10"/>
      <c r="Q249" s="11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L250" s="10"/>
      <c r="M250" s="10"/>
      <c r="N250" s="10"/>
      <c r="O250" s="10"/>
      <c r="P250" s="10"/>
      <c r="Q250" s="11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L251" s="10"/>
      <c r="M251" s="10"/>
      <c r="N251" s="10"/>
      <c r="O251" s="10"/>
      <c r="P251" s="10"/>
      <c r="Q251" s="11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L252" s="10"/>
      <c r="M252" s="10"/>
      <c r="N252" s="10"/>
      <c r="O252" s="10"/>
      <c r="P252" s="10"/>
      <c r="Q252" s="11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L253" s="10"/>
      <c r="M253" s="10"/>
      <c r="N253" s="10"/>
      <c r="O253" s="10"/>
      <c r="P253" s="10"/>
      <c r="Q253" s="11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L254" s="10"/>
      <c r="M254" s="10"/>
      <c r="N254" s="10"/>
      <c r="O254" s="10"/>
      <c r="P254" s="10"/>
      <c r="Q254" s="11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L255" s="10"/>
      <c r="M255" s="10"/>
      <c r="N255" s="10"/>
      <c r="O255" s="10"/>
      <c r="P255" s="10"/>
      <c r="Q255" s="11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L256" s="10"/>
      <c r="M256" s="10"/>
      <c r="N256" s="10"/>
      <c r="O256" s="10"/>
      <c r="P256" s="10"/>
      <c r="Q256" s="11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L257" s="10"/>
      <c r="M257" s="10"/>
      <c r="N257" s="10"/>
      <c r="O257" s="10"/>
      <c r="P257" s="10"/>
      <c r="Q257" s="11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L258" s="10"/>
      <c r="M258" s="10"/>
      <c r="N258" s="10"/>
      <c r="O258" s="10"/>
      <c r="P258" s="10"/>
      <c r="Q258" s="11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L259" s="10"/>
      <c r="M259" s="10"/>
      <c r="N259" s="10"/>
      <c r="O259" s="10"/>
      <c r="P259" s="10"/>
      <c r="Q259" s="11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L260" s="10"/>
      <c r="M260" s="10"/>
      <c r="N260" s="10"/>
      <c r="O260" s="10"/>
      <c r="P260" s="10"/>
      <c r="Q260" s="11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L261" s="10"/>
      <c r="M261" s="10"/>
      <c r="N261" s="10"/>
      <c r="O261" s="10"/>
      <c r="P261" s="10"/>
      <c r="Q261" s="11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L262" s="10"/>
      <c r="M262" s="10"/>
      <c r="N262" s="10"/>
      <c r="O262" s="10"/>
      <c r="P262" s="10"/>
      <c r="Q262" s="11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L263" s="10"/>
      <c r="M263" s="10"/>
      <c r="N263" s="10"/>
      <c r="O263" s="10"/>
      <c r="P263" s="10"/>
      <c r="Q263" s="11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L264" s="10"/>
      <c r="M264" s="10"/>
      <c r="N264" s="10"/>
      <c r="O264" s="10"/>
      <c r="P264" s="10"/>
      <c r="Q264" s="11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L265" s="10"/>
      <c r="M265" s="10"/>
      <c r="N265" s="10"/>
      <c r="O265" s="10"/>
      <c r="P265" s="10"/>
      <c r="Q265" s="11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L266" s="10"/>
      <c r="M266" s="10"/>
      <c r="N266" s="10"/>
      <c r="O266" s="10"/>
      <c r="P266" s="10"/>
      <c r="Q266" s="11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L267" s="10"/>
      <c r="M267" s="10"/>
      <c r="N267" s="10"/>
      <c r="O267" s="10"/>
      <c r="P267" s="10"/>
      <c r="Q267" s="11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L268" s="10"/>
      <c r="M268" s="10"/>
      <c r="N268" s="10"/>
      <c r="O268" s="10"/>
      <c r="P268" s="10"/>
      <c r="Q268" s="11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L269" s="10"/>
      <c r="M269" s="10"/>
      <c r="N269" s="10"/>
      <c r="O269" s="10"/>
      <c r="P269" s="10"/>
      <c r="Q269" s="11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L270" s="10"/>
      <c r="M270" s="10"/>
      <c r="N270" s="10"/>
      <c r="O270" s="10"/>
      <c r="P270" s="10"/>
      <c r="Q270" s="11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L271" s="10"/>
      <c r="M271" s="10"/>
      <c r="N271" s="10"/>
      <c r="O271" s="10"/>
      <c r="P271" s="10"/>
      <c r="Q271" s="11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L272" s="10"/>
      <c r="M272" s="10"/>
      <c r="N272" s="10"/>
      <c r="O272" s="10"/>
      <c r="P272" s="10"/>
      <c r="Q272" s="11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L273" s="10"/>
      <c r="M273" s="10"/>
      <c r="N273" s="10"/>
      <c r="O273" s="10"/>
      <c r="P273" s="10"/>
      <c r="Q273" s="11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L274" s="10"/>
      <c r="M274" s="10"/>
      <c r="N274" s="10"/>
      <c r="O274" s="10"/>
      <c r="P274" s="10"/>
      <c r="Q274" s="11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L275" s="10"/>
      <c r="M275" s="10"/>
      <c r="N275" s="10"/>
      <c r="O275" s="10"/>
      <c r="P275" s="10"/>
      <c r="Q275" s="11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L276" s="10"/>
      <c r="M276" s="10"/>
      <c r="N276" s="10"/>
      <c r="O276" s="10"/>
      <c r="P276" s="10"/>
      <c r="Q276" s="11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L277" s="10"/>
      <c r="M277" s="10"/>
      <c r="N277" s="10"/>
      <c r="O277" s="10"/>
      <c r="P277" s="10"/>
      <c r="Q277" s="11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L278" s="10"/>
      <c r="M278" s="10"/>
      <c r="N278" s="10"/>
      <c r="O278" s="10"/>
      <c r="P278" s="10"/>
      <c r="Q278" s="11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L279" s="10"/>
      <c r="M279" s="10"/>
      <c r="N279" s="10"/>
      <c r="O279" s="10"/>
      <c r="P279" s="10"/>
      <c r="Q279" s="11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L280" s="10"/>
      <c r="M280" s="10"/>
      <c r="N280" s="10"/>
      <c r="O280" s="10"/>
      <c r="P280" s="10"/>
      <c r="Q280" s="11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L281" s="10"/>
      <c r="M281" s="10"/>
      <c r="N281" s="10"/>
      <c r="O281" s="10"/>
      <c r="P281" s="10"/>
      <c r="Q281" s="11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L282" s="10"/>
      <c r="M282" s="10"/>
      <c r="N282" s="10"/>
      <c r="O282" s="10"/>
      <c r="P282" s="10"/>
      <c r="Q282" s="11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L283" s="10"/>
      <c r="M283" s="10"/>
      <c r="N283" s="10"/>
      <c r="O283" s="10"/>
      <c r="P283" s="10"/>
      <c r="Q283" s="11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L284" s="10"/>
      <c r="M284" s="10"/>
      <c r="N284" s="10"/>
      <c r="O284" s="10"/>
      <c r="P284" s="10"/>
      <c r="Q284" s="11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L285" s="10"/>
      <c r="M285" s="10"/>
      <c r="N285" s="10"/>
      <c r="O285" s="10"/>
      <c r="P285" s="10"/>
      <c r="Q285" s="11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L286" s="10"/>
      <c r="M286" s="10"/>
      <c r="N286" s="10"/>
      <c r="O286" s="10"/>
      <c r="P286" s="10"/>
      <c r="Q286" s="11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L287" s="10"/>
      <c r="M287" s="10"/>
      <c r="N287" s="10"/>
      <c r="O287" s="10"/>
      <c r="P287" s="10"/>
      <c r="Q287" s="11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L288" s="10"/>
      <c r="M288" s="10"/>
      <c r="N288" s="10"/>
      <c r="O288" s="10"/>
      <c r="P288" s="10"/>
      <c r="Q288" s="11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L289" s="10"/>
      <c r="M289" s="10"/>
      <c r="N289" s="10"/>
      <c r="O289" s="10"/>
      <c r="P289" s="10"/>
      <c r="Q289" s="11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L290" s="10"/>
      <c r="M290" s="10"/>
      <c r="N290" s="10"/>
      <c r="O290" s="10"/>
      <c r="P290" s="10"/>
      <c r="Q290" s="11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L291" s="10"/>
      <c r="M291" s="10"/>
      <c r="N291" s="10"/>
      <c r="O291" s="10"/>
      <c r="P291" s="10"/>
      <c r="Q291" s="11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L292" s="10"/>
      <c r="M292" s="10"/>
      <c r="N292" s="10"/>
      <c r="O292" s="10"/>
      <c r="P292" s="10"/>
      <c r="Q292" s="11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L293" s="10"/>
      <c r="M293" s="10"/>
      <c r="N293" s="10"/>
      <c r="O293" s="10"/>
      <c r="P293" s="10"/>
      <c r="Q293" s="11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L294" s="10"/>
      <c r="M294" s="10"/>
      <c r="N294" s="10"/>
      <c r="O294" s="10"/>
      <c r="P294" s="10"/>
      <c r="Q294" s="11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L295" s="10"/>
      <c r="M295" s="10"/>
      <c r="N295" s="10"/>
      <c r="O295" s="10"/>
      <c r="P295" s="10"/>
      <c r="Q295" s="11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L296" s="10"/>
      <c r="M296" s="10"/>
      <c r="N296" s="10"/>
      <c r="O296" s="10"/>
      <c r="P296" s="10"/>
      <c r="Q296" s="11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L297" s="10"/>
      <c r="M297" s="10"/>
      <c r="N297" s="10"/>
      <c r="O297" s="10"/>
      <c r="P297" s="10"/>
      <c r="Q297" s="11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L298" s="10"/>
      <c r="M298" s="10"/>
      <c r="N298" s="10"/>
      <c r="O298" s="10"/>
      <c r="P298" s="10"/>
      <c r="Q298" s="11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L299" s="10"/>
      <c r="M299" s="10"/>
      <c r="N299" s="10"/>
      <c r="O299" s="10"/>
      <c r="P299" s="10"/>
      <c r="Q299" s="11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L300" s="10"/>
      <c r="M300" s="10"/>
      <c r="N300" s="10"/>
      <c r="O300" s="10"/>
      <c r="P300" s="10"/>
      <c r="Q300" s="11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L301" s="10"/>
      <c r="M301" s="10"/>
      <c r="N301" s="10"/>
      <c r="O301" s="10"/>
      <c r="P301" s="10"/>
      <c r="Q301" s="11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L302" s="10"/>
      <c r="M302" s="10"/>
      <c r="N302" s="10"/>
      <c r="O302" s="10"/>
      <c r="P302" s="10"/>
      <c r="Q302" s="11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L303" s="10"/>
      <c r="M303" s="10"/>
      <c r="N303" s="10"/>
      <c r="O303" s="10"/>
      <c r="P303" s="10"/>
      <c r="Q303" s="11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L304" s="10"/>
      <c r="M304" s="10"/>
      <c r="N304" s="10"/>
      <c r="O304" s="10"/>
      <c r="P304" s="10"/>
      <c r="Q304" s="11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L305" s="10"/>
      <c r="M305" s="10"/>
      <c r="N305" s="10"/>
      <c r="O305" s="10"/>
      <c r="P305" s="10"/>
      <c r="Q305" s="11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L306" s="10"/>
      <c r="M306" s="10"/>
      <c r="N306" s="10"/>
      <c r="O306" s="10"/>
      <c r="P306" s="10"/>
      <c r="Q306" s="11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L307" s="10"/>
      <c r="M307" s="10"/>
      <c r="N307" s="10"/>
      <c r="O307" s="10"/>
      <c r="P307" s="10"/>
      <c r="Q307" s="11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L308" s="10"/>
      <c r="M308" s="10"/>
      <c r="N308" s="10"/>
      <c r="O308" s="10"/>
      <c r="P308" s="10"/>
      <c r="Q308" s="11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L309" s="10"/>
      <c r="M309" s="10"/>
      <c r="N309" s="10"/>
      <c r="O309" s="10"/>
      <c r="P309" s="10"/>
      <c r="Q309" s="11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L310" s="10"/>
      <c r="M310" s="10"/>
      <c r="N310" s="10"/>
      <c r="O310" s="10"/>
      <c r="P310" s="10"/>
      <c r="Q310" s="11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L311" s="10"/>
      <c r="M311" s="10"/>
      <c r="N311" s="10"/>
      <c r="O311" s="10"/>
      <c r="P311" s="10"/>
      <c r="Q311" s="11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L312" s="10"/>
      <c r="M312" s="10"/>
      <c r="N312" s="10"/>
      <c r="O312" s="10"/>
      <c r="P312" s="10"/>
      <c r="Q312" s="11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L313" s="10"/>
      <c r="M313" s="10"/>
      <c r="N313" s="10"/>
      <c r="O313" s="10"/>
      <c r="P313" s="10"/>
      <c r="Q313" s="11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L314" s="10"/>
      <c r="M314" s="10"/>
      <c r="N314" s="10"/>
      <c r="O314" s="10"/>
      <c r="P314" s="10"/>
      <c r="Q314" s="11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L315" s="10"/>
      <c r="M315" s="10"/>
      <c r="N315" s="10"/>
      <c r="O315" s="10"/>
      <c r="P315" s="10"/>
      <c r="Q315" s="11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L316" s="10"/>
      <c r="M316" s="10"/>
      <c r="N316" s="10"/>
      <c r="O316" s="10"/>
      <c r="P316" s="10"/>
      <c r="Q316" s="11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L317" s="10"/>
      <c r="M317" s="10"/>
      <c r="N317" s="10"/>
      <c r="O317" s="10"/>
      <c r="P317" s="10"/>
      <c r="Q317" s="11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L318" s="10"/>
      <c r="M318" s="10"/>
      <c r="N318" s="10"/>
      <c r="O318" s="10"/>
      <c r="P318" s="10"/>
      <c r="Q318" s="11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L319" s="10"/>
      <c r="M319" s="10"/>
      <c r="N319" s="10"/>
      <c r="O319" s="10"/>
      <c r="P319" s="10"/>
      <c r="Q319" s="11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L320" s="10"/>
      <c r="M320" s="10"/>
      <c r="N320" s="10"/>
      <c r="O320" s="10"/>
      <c r="P320" s="10"/>
      <c r="Q320" s="11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L321" s="10"/>
      <c r="M321" s="10"/>
      <c r="N321" s="10"/>
      <c r="O321" s="10"/>
      <c r="P321" s="10"/>
      <c r="Q321" s="11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L322" s="10"/>
      <c r="M322" s="10"/>
      <c r="N322" s="10"/>
      <c r="O322" s="10"/>
      <c r="P322" s="10"/>
      <c r="Q322" s="11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L323" s="10"/>
      <c r="M323" s="10"/>
      <c r="N323" s="10"/>
      <c r="O323" s="10"/>
      <c r="P323" s="10"/>
      <c r="Q323" s="11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L324" s="10"/>
      <c r="M324" s="10"/>
      <c r="N324" s="10"/>
      <c r="O324" s="10"/>
      <c r="P324" s="10"/>
      <c r="Q324" s="11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L325" s="10"/>
      <c r="M325" s="10"/>
      <c r="N325" s="10"/>
      <c r="O325" s="10"/>
      <c r="P325" s="10"/>
      <c r="Q325" s="11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L326" s="10"/>
      <c r="M326" s="10"/>
      <c r="N326" s="10"/>
      <c r="O326" s="10"/>
      <c r="P326" s="10"/>
      <c r="Q326" s="11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L327" s="10"/>
      <c r="M327" s="10"/>
      <c r="N327" s="10"/>
      <c r="O327" s="10"/>
      <c r="P327" s="10"/>
      <c r="Q327" s="11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L328" s="10"/>
      <c r="M328" s="10"/>
      <c r="N328" s="10"/>
      <c r="O328" s="10"/>
      <c r="P328" s="10"/>
      <c r="Q328" s="11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L329" s="10"/>
      <c r="M329" s="10"/>
      <c r="N329" s="10"/>
      <c r="O329" s="10"/>
      <c r="P329" s="10"/>
      <c r="Q329" s="11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L330" s="10"/>
      <c r="M330" s="10"/>
      <c r="N330" s="10"/>
      <c r="O330" s="10"/>
      <c r="P330" s="10"/>
      <c r="Q330" s="11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L331" s="10"/>
      <c r="M331" s="10"/>
      <c r="N331" s="10"/>
      <c r="O331" s="10"/>
      <c r="P331" s="10"/>
      <c r="Q331" s="11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L332" s="10"/>
      <c r="M332" s="10"/>
      <c r="N332" s="10"/>
      <c r="O332" s="10"/>
      <c r="P332" s="10"/>
      <c r="Q332" s="11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L333" s="10"/>
      <c r="M333" s="10"/>
      <c r="N333" s="10"/>
      <c r="O333" s="10"/>
      <c r="P333" s="10"/>
      <c r="Q333" s="11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L334" s="10"/>
      <c r="M334" s="10"/>
      <c r="N334" s="10"/>
      <c r="O334" s="10"/>
      <c r="P334" s="10"/>
      <c r="Q334" s="11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L335" s="10"/>
      <c r="M335" s="10"/>
      <c r="N335" s="10"/>
      <c r="O335" s="10"/>
      <c r="P335" s="10"/>
      <c r="Q335" s="11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L336" s="10"/>
      <c r="M336" s="10"/>
      <c r="N336" s="10"/>
      <c r="O336" s="10"/>
      <c r="P336" s="10"/>
      <c r="Q336" s="11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L337" s="10"/>
      <c r="M337" s="10"/>
      <c r="N337" s="10"/>
      <c r="O337" s="10"/>
      <c r="P337" s="10"/>
      <c r="Q337" s="11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L338" s="10"/>
      <c r="M338" s="10"/>
      <c r="N338" s="10"/>
      <c r="O338" s="10"/>
      <c r="P338" s="10"/>
      <c r="Q338" s="11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L339" s="10"/>
      <c r="M339" s="10"/>
      <c r="N339" s="10"/>
      <c r="O339" s="10"/>
      <c r="P339" s="10"/>
      <c r="Q339" s="11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L340" s="10"/>
      <c r="M340" s="10"/>
      <c r="N340" s="10"/>
      <c r="O340" s="10"/>
      <c r="P340" s="10"/>
      <c r="Q340" s="11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L341" s="10"/>
      <c r="M341" s="10"/>
      <c r="N341" s="10"/>
      <c r="O341" s="10"/>
      <c r="P341" s="10"/>
      <c r="Q341" s="11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L342" s="10"/>
      <c r="M342" s="10"/>
      <c r="N342" s="10"/>
      <c r="O342" s="10"/>
      <c r="P342" s="10"/>
      <c r="Q342" s="11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L343" s="10"/>
      <c r="M343" s="10"/>
      <c r="N343" s="10"/>
      <c r="O343" s="10"/>
      <c r="P343" s="10"/>
      <c r="Q343" s="11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L344" s="10"/>
      <c r="M344" s="10"/>
      <c r="N344" s="10"/>
      <c r="O344" s="10"/>
      <c r="P344" s="10"/>
      <c r="Q344" s="11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L345" s="10"/>
      <c r="M345" s="10"/>
      <c r="N345" s="10"/>
      <c r="O345" s="10"/>
      <c r="P345" s="10"/>
      <c r="Q345" s="11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L346" s="10"/>
      <c r="M346" s="10"/>
      <c r="N346" s="10"/>
      <c r="O346" s="10"/>
      <c r="P346" s="10"/>
      <c r="Q346" s="11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L347" s="10"/>
      <c r="M347" s="10"/>
      <c r="N347" s="10"/>
      <c r="O347" s="10"/>
      <c r="P347" s="10"/>
      <c r="Q347" s="11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L348" s="10"/>
      <c r="M348" s="10"/>
      <c r="N348" s="10"/>
      <c r="O348" s="10"/>
      <c r="P348" s="10"/>
      <c r="Q348" s="11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L349" s="10"/>
      <c r="M349" s="10"/>
      <c r="N349" s="10"/>
      <c r="O349" s="10"/>
      <c r="P349" s="10"/>
      <c r="Q349" s="11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L350" s="10"/>
      <c r="M350" s="10"/>
      <c r="N350" s="10"/>
      <c r="O350" s="10"/>
      <c r="P350" s="10"/>
      <c r="Q350" s="11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L351" s="10"/>
      <c r="M351" s="10"/>
      <c r="N351" s="10"/>
      <c r="O351" s="10"/>
      <c r="P351" s="10"/>
      <c r="Q351" s="11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L352" s="10"/>
      <c r="M352" s="10"/>
      <c r="N352" s="10"/>
      <c r="O352" s="10"/>
      <c r="P352" s="10"/>
      <c r="Q352" s="11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L353" s="10"/>
      <c r="M353" s="10"/>
      <c r="N353" s="10"/>
      <c r="O353" s="10"/>
      <c r="P353" s="10"/>
      <c r="Q353" s="11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L354" s="10"/>
      <c r="M354" s="10"/>
      <c r="N354" s="10"/>
      <c r="O354" s="10"/>
      <c r="P354" s="10"/>
      <c r="Q354" s="11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L355" s="10"/>
      <c r="M355" s="10"/>
      <c r="N355" s="10"/>
      <c r="O355" s="10"/>
      <c r="P355" s="10"/>
      <c r="Q355" s="11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L356" s="10"/>
      <c r="M356" s="10"/>
      <c r="N356" s="10"/>
      <c r="O356" s="10"/>
      <c r="P356" s="10"/>
      <c r="Q356" s="11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L357" s="10"/>
      <c r="M357" s="10"/>
      <c r="N357" s="10"/>
      <c r="O357" s="10"/>
      <c r="P357" s="10"/>
      <c r="Q357" s="11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L358" s="10"/>
      <c r="M358" s="10"/>
      <c r="N358" s="10"/>
      <c r="O358" s="10"/>
      <c r="P358" s="10"/>
      <c r="Q358" s="11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L359" s="10"/>
      <c r="M359" s="10"/>
      <c r="N359" s="10"/>
      <c r="O359" s="10"/>
      <c r="P359" s="10"/>
      <c r="Q359" s="11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L360" s="10"/>
      <c r="M360" s="10"/>
      <c r="N360" s="10"/>
      <c r="O360" s="10"/>
      <c r="P360" s="10"/>
      <c r="Q360" s="11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L361" s="10"/>
      <c r="M361" s="10"/>
      <c r="N361" s="10"/>
      <c r="O361" s="10"/>
      <c r="P361" s="10"/>
      <c r="Q361" s="11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L362" s="10"/>
      <c r="M362" s="10"/>
      <c r="N362" s="10"/>
      <c r="O362" s="10"/>
      <c r="P362" s="10"/>
      <c r="Q362" s="11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L363" s="10"/>
      <c r="M363" s="10"/>
      <c r="N363" s="10"/>
      <c r="O363" s="10"/>
      <c r="P363" s="10"/>
      <c r="Q363" s="11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L364" s="10"/>
      <c r="M364" s="10"/>
      <c r="N364" s="10"/>
      <c r="O364" s="10"/>
      <c r="P364" s="10"/>
      <c r="Q364" s="11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L365" s="10"/>
      <c r="M365" s="10"/>
      <c r="N365" s="10"/>
      <c r="O365" s="10"/>
      <c r="P365" s="10"/>
      <c r="Q365" s="11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L366" s="10"/>
      <c r="M366" s="10"/>
      <c r="N366" s="10"/>
      <c r="O366" s="10"/>
      <c r="P366" s="10"/>
      <c r="Q366" s="11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L367" s="10"/>
      <c r="M367" s="10"/>
      <c r="N367" s="10"/>
      <c r="O367" s="10"/>
      <c r="P367" s="10"/>
      <c r="Q367" s="11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L368" s="10"/>
      <c r="M368" s="10"/>
      <c r="N368" s="10"/>
      <c r="O368" s="10"/>
      <c r="P368" s="10"/>
      <c r="Q368" s="11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L369" s="10"/>
      <c r="M369" s="10"/>
      <c r="N369" s="10"/>
      <c r="O369" s="10"/>
      <c r="P369" s="10"/>
      <c r="Q369" s="11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L370" s="10"/>
      <c r="M370" s="10"/>
      <c r="N370" s="10"/>
      <c r="O370" s="10"/>
      <c r="P370" s="10"/>
      <c r="Q370" s="11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L371" s="10"/>
      <c r="M371" s="10"/>
      <c r="N371" s="10"/>
      <c r="O371" s="10"/>
      <c r="P371" s="10"/>
      <c r="Q371" s="11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L372" s="10"/>
      <c r="M372" s="10"/>
      <c r="N372" s="10"/>
      <c r="O372" s="10"/>
      <c r="P372" s="10"/>
      <c r="Q372" s="11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L373" s="10"/>
      <c r="M373" s="10"/>
      <c r="N373" s="10"/>
      <c r="O373" s="10"/>
      <c r="P373" s="10"/>
      <c r="Q373" s="11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L374" s="10"/>
      <c r="M374" s="10"/>
      <c r="N374" s="10"/>
      <c r="O374" s="10"/>
      <c r="P374" s="10"/>
      <c r="Q374" s="11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L375" s="10"/>
      <c r="M375" s="10"/>
      <c r="N375" s="10"/>
      <c r="O375" s="10"/>
      <c r="P375" s="10"/>
      <c r="Q375" s="11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L376" s="10"/>
      <c r="M376" s="10"/>
      <c r="N376" s="10"/>
      <c r="O376" s="10"/>
      <c r="P376" s="10"/>
      <c r="Q376" s="11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L377" s="10"/>
      <c r="M377" s="10"/>
      <c r="N377" s="10"/>
      <c r="O377" s="10"/>
      <c r="P377" s="10"/>
      <c r="Q377" s="11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L378" s="10"/>
      <c r="M378" s="10"/>
      <c r="N378" s="10"/>
      <c r="O378" s="10"/>
      <c r="P378" s="10"/>
      <c r="Q378" s="11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L379" s="10"/>
      <c r="M379" s="10"/>
      <c r="N379" s="10"/>
      <c r="O379" s="10"/>
      <c r="P379" s="10"/>
      <c r="Q379" s="11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L380" s="10"/>
      <c r="M380" s="10"/>
      <c r="N380" s="10"/>
      <c r="O380" s="10"/>
      <c r="P380" s="10"/>
      <c r="Q380" s="11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L381" s="10"/>
      <c r="M381" s="10"/>
      <c r="N381" s="10"/>
      <c r="O381" s="10"/>
      <c r="P381" s="10"/>
      <c r="Q381" s="11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L382" s="10"/>
      <c r="M382" s="10"/>
      <c r="N382" s="10"/>
      <c r="O382" s="10"/>
      <c r="P382" s="10"/>
      <c r="Q382" s="11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L383" s="10"/>
      <c r="M383" s="10"/>
      <c r="N383" s="10"/>
      <c r="O383" s="10"/>
      <c r="P383" s="10"/>
      <c r="Q383" s="11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L384" s="10"/>
      <c r="M384" s="10"/>
      <c r="N384" s="10"/>
      <c r="O384" s="10"/>
      <c r="P384" s="10"/>
      <c r="Q384" s="11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L385" s="10"/>
      <c r="M385" s="10"/>
      <c r="N385" s="10"/>
      <c r="O385" s="10"/>
      <c r="P385" s="10"/>
      <c r="Q385" s="11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L386" s="10"/>
      <c r="M386" s="10"/>
      <c r="N386" s="10"/>
      <c r="O386" s="10"/>
      <c r="P386" s="10"/>
      <c r="Q386" s="11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L387" s="10"/>
      <c r="M387" s="10"/>
      <c r="N387" s="10"/>
      <c r="O387" s="10"/>
      <c r="P387" s="10"/>
      <c r="Q387" s="11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L388" s="10"/>
      <c r="M388" s="10"/>
      <c r="N388" s="10"/>
      <c r="O388" s="10"/>
      <c r="P388" s="10"/>
      <c r="Q388" s="11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L389" s="10"/>
      <c r="M389" s="10"/>
      <c r="N389" s="10"/>
      <c r="O389" s="10"/>
      <c r="P389" s="10"/>
      <c r="Q389" s="11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L390" s="10"/>
      <c r="M390" s="10"/>
      <c r="N390" s="10"/>
      <c r="O390" s="10"/>
      <c r="P390" s="10"/>
      <c r="Q390" s="11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L391" s="10"/>
      <c r="M391" s="10"/>
      <c r="N391" s="10"/>
      <c r="O391" s="10"/>
      <c r="P391" s="10"/>
      <c r="Q391" s="11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L392" s="10"/>
      <c r="M392" s="10"/>
      <c r="N392" s="10"/>
      <c r="O392" s="10"/>
      <c r="P392" s="10"/>
      <c r="Q392" s="11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L393" s="10"/>
      <c r="M393" s="10"/>
      <c r="N393" s="10"/>
      <c r="O393" s="10"/>
      <c r="P393" s="10"/>
      <c r="Q393" s="11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L394" s="10"/>
      <c r="M394" s="10"/>
      <c r="N394" s="10"/>
      <c r="O394" s="10"/>
      <c r="P394" s="10"/>
      <c r="Q394" s="11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L395" s="10"/>
      <c r="M395" s="10"/>
      <c r="N395" s="10"/>
      <c r="O395" s="10"/>
      <c r="P395" s="10"/>
      <c r="Q395" s="11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L396" s="10"/>
      <c r="M396" s="10"/>
      <c r="N396" s="10"/>
      <c r="O396" s="10"/>
      <c r="P396" s="10"/>
      <c r="Q396" s="11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L397" s="10"/>
      <c r="M397" s="10"/>
      <c r="N397" s="10"/>
      <c r="O397" s="10"/>
      <c r="P397" s="10"/>
      <c r="Q397" s="11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L398" s="10"/>
      <c r="M398" s="10"/>
      <c r="N398" s="10"/>
      <c r="O398" s="10"/>
      <c r="P398" s="10"/>
      <c r="Q398" s="11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L399" s="10"/>
      <c r="M399" s="10"/>
      <c r="N399" s="10"/>
      <c r="O399" s="10"/>
      <c r="P399" s="10"/>
      <c r="Q399" s="11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L400" s="10"/>
      <c r="M400" s="10"/>
      <c r="N400" s="10"/>
      <c r="O400" s="10"/>
      <c r="P400" s="10"/>
      <c r="Q400" s="11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L401" s="10"/>
      <c r="M401" s="10"/>
      <c r="N401" s="10"/>
      <c r="O401" s="10"/>
      <c r="P401" s="10"/>
      <c r="Q401" s="11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L402" s="10"/>
      <c r="M402" s="10"/>
      <c r="N402" s="10"/>
      <c r="O402" s="10"/>
      <c r="P402" s="10"/>
      <c r="Q402" s="11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L403" s="10"/>
      <c r="M403" s="10"/>
      <c r="N403" s="10"/>
      <c r="O403" s="10"/>
      <c r="P403" s="10"/>
      <c r="Q403" s="11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L404" s="10"/>
      <c r="M404" s="10"/>
      <c r="N404" s="10"/>
      <c r="O404" s="10"/>
      <c r="P404" s="10"/>
      <c r="Q404" s="11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L405" s="10"/>
      <c r="M405" s="10"/>
      <c r="N405" s="10"/>
      <c r="O405" s="10"/>
      <c r="P405" s="10"/>
      <c r="Q405" s="11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L406" s="10"/>
      <c r="M406" s="10"/>
      <c r="N406" s="10"/>
      <c r="O406" s="10"/>
      <c r="P406" s="10"/>
      <c r="Q406" s="11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L407" s="10"/>
      <c r="M407" s="10"/>
      <c r="N407" s="10"/>
      <c r="O407" s="10"/>
      <c r="P407" s="10"/>
      <c r="Q407" s="11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L408" s="10"/>
      <c r="M408" s="10"/>
      <c r="N408" s="10"/>
      <c r="O408" s="10"/>
      <c r="P408" s="10"/>
      <c r="Q408" s="11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L409" s="10"/>
      <c r="M409" s="10"/>
      <c r="N409" s="10"/>
      <c r="O409" s="10"/>
      <c r="P409" s="10"/>
      <c r="Q409" s="11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L410" s="10"/>
      <c r="M410" s="10"/>
      <c r="N410" s="10"/>
      <c r="O410" s="10"/>
      <c r="P410" s="10"/>
      <c r="Q410" s="11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L411" s="10"/>
      <c r="M411" s="10"/>
      <c r="N411" s="10"/>
      <c r="O411" s="10"/>
      <c r="P411" s="10"/>
      <c r="Q411" s="11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L412" s="10"/>
      <c r="M412" s="10"/>
      <c r="N412" s="10"/>
      <c r="O412" s="10"/>
      <c r="P412" s="10"/>
      <c r="Q412" s="11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L413" s="10"/>
      <c r="M413" s="10"/>
      <c r="N413" s="10"/>
      <c r="O413" s="10"/>
      <c r="P413" s="10"/>
      <c r="Q413" s="11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L414" s="10"/>
      <c r="M414" s="10"/>
      <c r="N414" s="10"/>
      <c r="O414" s="10"/>
      <c r="P414" s="10"/>
      <c r="Q414" s="11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L415" s="10"/>
      <c r="M415" s="10"/>
      <c r="N415" s="10"/>
      <c r="O415" s="10"/>
      <c r="P415" s="10"/>
      <c r="Q415" s="11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L416" s="10"/>
      <c r="M416" s="10"/>
      <c r="N416" s="10"/>
      <c r="O416" s="10"/>
      <c r="P416" s="10"/>
      <c r="Q416" s="11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L417" s="10"/>
      <c r="M417" s="10"/>
      <c r="N417" s="10"/>
      <c r="O417" s="10"/>
      <c r="P417" s="10"/>
      <c r="Q417" s="11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L418" s="10"/>
      <c r="M418" s="10"/>
      <c r="N418" s="10"/>
      <c r="O418" s="10"/>
      <c r="P418" s="10"/>
      <c r="Q418" s="11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L419" s="10"/>
      <c r="M419" s="10"/>
      <c r="N419" s="10"/>
      <c r="O419" s="10"/>
      <c r="P419" s="10"/>
      <c r="Q419" s="11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L420" s="10"/>
      <c r="M420" s="10"/>
      <c r="N420" s="10"/>
      <c r="O420" s="10"/>
      <c r="P420" s="10"/>
      <c r="Q420" s="11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L421" s="10"/>
      <c r="M421" s="10"/>
      <c r="N421" s="10"/>
      <c r="O421" s="10"/>
      <c r="P421" s="10"/>
      <c r="Q421" s="11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L422" s="10"/>
      <c r="M422" s="10"/>
      <c r="N422" s="10"/>
      <c r="O422" s="10"/>
      <c r="P422" s="10"/>
      <c r="Q422" s="11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L423" s="10"/>
      <c r="M423" s="10"/>
      <c r="N423" s="10"/>
      <c r="O423" s="10"/>
      <c r="P423" s="10"/>
      <c r="Q423" s="11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L424" s="10"/>
      <c r="M424" s="10"/>
      <c r="N424" s="10"/>
      <c r="O424" s="10"/>
      <c r="P424" s="10"/>
      <c r="Q424" s="11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L425" s="10"/>
      <c r="M425" s="10"/>
      <c r="N425" s="10"/>
      <c r="O425" s="10"/>
      <c r="P425" s="10"/>
      <c r="Q425" s="11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L426" s="10"/>
      <c r="M426" s="10"/>
      <c r="N426" s="10"/>
      <c r="O426" s="10"/>
      <c r="P426" s="10"/>
      <c r="Q426" s="11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L427" s="10"/>
      <c r="M427" s="10"/>
      <c r="N427" s="10"/>
      <c r="O427" s="10"/>
      <c r="P427" s="10"/>
      <c r="Q427" s="11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L428" s="10"/>
      <c r="M428" s="10"/>
      <c r="N428" s="10"/>
      <c r="O428" s="10"/>
      <c r="P428" s="10"/>
      <c r="Q428" s="11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L429" s="10"/>
      <c r="M429" s="10"/>
      <c r="N429" s="10"/>
      <c r="O429" s="10"/>
      <c r="P429" s="10"/>
      <c r="Q429" s="11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L430" s="10"/>
      <c r="M430" s="10"/>
      <c r="N430" s="10"/>
      <c r="O430" s="10"/>
      <c r="P430" s="10"/>
      <c r="Q430" s="11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L431" s="10"/>
      <c r="M431" s="10"/>
      <c r="N431" s="10"/>
      <c r="O431" s="10"/>
      <c r="P431" s="10"/>
      <c r="Q431" s="11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L432" s="10"/>
      <c r="M432" s="10"/>
      <c r="N432" s="10"/>
      <c r="O432" s="10"/>
      <c r="P432" s="10"/>
      <c r="Q432" s="11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L433" s="10"/>
      <c r="M433" s="10"/>
      <c r="N433" s="10"/>
      <c r="O433" s="10"/>
      <c r="P433" s="10"/>
      <c r="Q433" s="11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L434" s="10"/>
      <c r="M434" s="10"/>
      <c r="N434" s="10"/>
      <c r="O434" s="10"/>
      <c r="P434" s="10"/>
      <c r="Q434" s="11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L435" s="10"/>
      <c r="M435" s="10"/>
      <c r="N435" s="10"/>
      <c r="O435" s="10"/>
      <c r="P435" s="10"/>
      <c r="Q435" s="11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L436" s="10"/>
      <c r="M436" s="10"/>
      <c r="N436" s="10"/>
      <c r="O436" s="10"/>
      <c r="P436" s="10"/>
      <c r="Q436" s="11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L437" s="10"/>
      <c r="M437" s="10"/>
      <c r="N437" s="10"/>
      <c r="O437" s="10"/>
      <c r="P437" s="10"/>
      <c r="Q437" s="11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L438" s="10"/>
      <c r="M438" s="10"/>
      <c r="N438" s="10"/>
      <c r="O438" s="10"/>
      <c r="P438" s="10"/>
      <c r="Q438" s="11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L439" s="10"/>
      <c r="M439" s="10"/>
      <c r="N439" s="10"/>
      <c r="O439" s="10"/>
      <c r="P439" s="10"/>
      <c r="Q439" s="11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L440" s="10"/>
      <c r="M440" s="10"/>
      <c r="N440" s="10"/>
      <c r="O440" s="10"/>
      <c r="P440" s="10"/>
      <c r="Q440" s="11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L441" s="10"/>
      <c r="M441" s="10"/>
      <c r="N441" s="10"/>
      <c r="O441" s="10"/>
      <c r="P441" s="10"/>
      <c r="Q441" s="11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L442" s="10"/>
      <c r="M442" s="10"/>
      <c r="N442" s="10"/>
      <c r="O442" s="10"/>
      <c r="P442" s="10"/>
      <c r="Q442" s="11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L443" s="10"/>
      <c r="M443" s="10"/>
      <c r="N443" s="10"/>
      <c r="O443" s="10"/>
      <c r="P443" s="10"/>
      <c r="Q443" s="11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L444" s="10"/>
      <c r="M444" s="10"/>
      <c r="N444" s="10"/>
      <c r="O444" s="10"/>
      <c r="P444" s="10"/>
      <c r="Q444" s="11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L445" s="10"/>
      <c r="M445" s="10"/>
      <c r="N445" s="10"/>
      <c r="O445" s="10"/>
      <c r="P445" s="10"/>
      <c r="Q445" s="11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L446" s="10"/>
      <c r="M446" s="10"/>
      <c r="N446" s="10"/>
      <c r="O446" s="10"/>
      <c r="P446" s="10"/>
      <c r="Q446" s="11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L447" s="10"/>
      <c r="M447" s="10"/>
      <c r="N447" s="10"/>
      <c r="O447" s="10"/>
      <c r="P447" s="10"/>
      <c r="Q447" s="11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L448" s="10"/>
      <c r="M448" s="10"/>
      <c r="N448" s="10"/>
      <c r="O448" s="10"/>
      <c r="P448" s="10"/>
      <c r="Q448" s="11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L449" s="10"/>
      <c r="M449" s="10"/>
      <c r="N449" s="10"/>
      <c r="O449" s="10"/>
      <c r="P449" s="10"/>
      <c r="Q449" s="11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L450" s="10"/>
      <c r="M450" s="10"/>
      <c r="N450" s="10"/>
      <c r="O450" s="10"/>
      <c r="P450" s="10"/>
      <c r="Q450" s="11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L451" s="10"/>
      <c r="M451" s="10"/>
      <c r="N451" s="10"/>
      <c r="O451" s="10"/>
      <c r="P451" s="10"/>
      <c r="Q451" s="11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L452" s="10"/>
      <c r="M452" s="10"/>
      <c r="N452" s="10"/>
      <c r="O452" s="10"/>
      <c r="P452" s="10"/>
      <c r="Q452" s="11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L453" s="10"/>
      <c r="M453" s="10"/>
      <c r="N453" s="10"/>
      <c r="O453" s="10"/>
      <c r="P453" s="10"/>
      <c r="Q453" s="11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L454" s="10"/>
      <c r="M454" s="10"/>
      <c r="N454" s="10"/>
      <c r="O454" s="10"/>
      <c r="P454" s="10"/>
      <c r="Q454" s="11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L455" s="10"/>
      <c r="M455" s="10"/>
      <c r="N455" s="10"/>
      <c r="O455" s="10"/>
      <c r="P455" s="10"/>
      <c r="Q455" s="11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L456" s="10"/>
      <c r="M456" s="10"/>
      <c r="N456" s="10"/>
      <c r="O456" s="10"/>
      <c r="P456" s="10"/>
      <c r="Q456" s="11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L457" s="10"/>
      <c r="M457" s="10"/>
      <c r="N457" s="10"/>
      <c r="O457" s="10"/>
      <c r="P457" s="10"/>
      <c r="Q457" s="11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L458" s="10"/>
      <c r="M458" s="10"/>
      <c r="N458" s="10"/>
      <c r="O458" s="10"/>
      <c r="P458" s="10"/>
      <c r="Q458" s="11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L459" s="10"/>
      <c r="M459" s="10"/>
      <c r="N459" s="10"/>
      <c r="O459" s="10"/>
      <c r="P459" s="10"/>
      <c r="Q459" s="11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L460" s="10"/>
      <c r="M460" s="10"/>
      <c r="N460" s="10"/>
      <c r="O460" s="10"/>
      <c r="P460" s="10"/>
      <c r="Q460" s="11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L461" s="10"/>
      <c r="M461" s="10"/>
      <c r="N461" s="10"/>
      <c r="O461" s="10"/>
      <c r="P461" s="10"/>
      <c r="Q461" s="11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L462" s="10"/>
      <c r="M462" s="10"/>
      <c r="N462" s="10"/>
      <c r="O462" s="10"/>
      <c r="P462" s="10"/>
      <c r="Q462" s="11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L463" s="10"/>
      <c r="M463" s="10"/>
      <c r="N463" s="10"/>
      <c r="O463" s="10"/>
      <c r="P463" s="10"/>
      <c r="Q463" s="11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L464" s="10"/>
      <c r="M464" s="10"/>
      <c r="N464" s="10"/>
      <c r="O464" s="10"/>
      <c r="P464" s="10"/>
      <c r="Q464" s="11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L465" s="10"/>
      <c r="M465" s="10"/>
      <c r="N465" s="10"/>
      <c r="O465" s="10"/>
      <c r="P465" s="10"/>
      <c r="Q465" s="11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L466" s="10"/>
      <c r="M466" s="10"/>
      <c r="N466" s="10"/>
      <c r="O466" s="10"/>
      <c r="P466" s="10"/>
      <c r="Q466" s="11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L467" s="10"/>
      <c r="M467" s="10"/>
      <c r="N467" s="10"/>
      <c r="O467" s="10"/>
      <c r="P467" s="10"/>
      <c r="Q467" s="11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L468" s="10"/>
      <c r="M468" s="10"/>
      <c r="N468" s="10"/>
      <c r="O468" s="10"/>
      <c r="P468" s="10"/>
      <c r="Q468" s="11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L469" s="10"/>
      <c r="M469" s="10"/>
      <c r="N469" s="10"/>
      <c r="O469" s="10"/>
      <c r="P469" s="10"/>
      <c r="Q469" s="11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L470" s="10"/>
      <c r="M470" s="10"/>
      <c r="N470" s="10"/>
      <c r="O470" s="10"/>
      <c r="P470" s="10"/>
      <c r="Q470" s="11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L471" s="10"/>
      <c r="M471" s="10"/>
      <c r="N471" s="10"/>
      <c r="O471" s="10"/>
      <c r="P471" s="10"/>
      <c r="Q471" s="11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L472" s="10"/>
      <c r="M472" s="10"/>
      <c r="N472" s="10"/>
      <c r="O472" s="10"/>
      <c r="P472" s="10"/>
      <c r="Q472" s="11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L473" s="10"/>
      <c r="M473" s="10"/>
      <c r="N473" s="10"/>
      <c r="O473" s="10"/>
      <c r="P473" s="10"/>
      <c r="Q473" s="11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L474" s="10"/>
      <c r="M474" s="10"/>
      <c r="N474" s="10"/>
      <c r="O474" s="10"/>
      <c r="P474" s="10"/>
      <c r="Q474" s="11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L475" s="10"/>
      <c r="M475" s="10"/>
      <c r="N475" s="10"/>
      <c r="O475" s="10"/>
      <c r="P475" s="10"/>
      <c r="Q475" s="11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L476" s="10"/>
      <c r="M476" s="10"/>
      <c r="N476" s="10"/>
      <c r="O476" s="10"/>
      <c r="P476" s="10"/>
      <c r="Q476" s="11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L477" s="10"/>
      <c r="M477" s="10"/>
      <c r="N477" s="10"/>
      <c r="O477" s="10"/>
      <c r="P477" s="10"/>
      <c r="Q477" s="11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L478" s="10"/>
      <c r="M478" s="10"/>
      <c r="N478" s="10"/>
      <c r="O478" s="10"/>
      <c r="P478" s="10"/>
      <c r="Q478" s="11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L479" s="10"/>
      <c r="M479" s="10"/>
      <c r="N479" s="10"/>
      <c r="O479" s="10"/>
      <c r="P479" s="10"/>
      <c r="Q479" s="11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L480" s="10"/>
      <c r="M480" s="10"/>
      <c r="N480" s="10"/>
      <c r="O480" s="10"/>
      <c r="P480" s="10"/>
      <c r="Q480" s="11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L481" s="10"/>
      <c r="M481" s="10"/>
      <c r="N481" s="10"/>
      <c r="O481" s="10"/>
      <c r="P481" s="10"/>
      <c r="Q481" s="11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L482" s="10"/>
      <c r="M482" s="10"/>
      <c r="N482" s="10"/>
      <c r="O482" s="10"/>
      <c r="P482" s="10"/>
      <c r="Q482" s="11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L483" s="10"/>
      <c r="M483" s="10"/>
      <c r="N483" s="10"/>
      <c r="O483" s="10"/>
      <c r="P483" s="10"/>
      <c r="Q483" s="11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L484" s="10"/>
      <c r="M484" s="10"/>
      <c r="N484" s="10"/>
      <c r="O484" s="10"/>
      <c r="P484" s="10"/>
      <c r="Q484" s="11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L485" s="10"/>
      <c r="M485" s="10"/>
      <c r="N485" s="10"/>
      <c r="O485" s="10"/>
      <c r="P485" s="10"/>
      <c r="Q485" s="11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L486" s="10"/>
      <c r="M486" s="10"/>
      <c r="N486" s="10"/>
      <c r="O486" s="10"/>
      <c r="P486" s="10"/>
      <c r="Q486" s="11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L487" s="10"/>
      <c r="M487" s="10"/>
      <c r="N487" s="10"/>
      <c r="O487" s="10"/>
      <c r="P487" s="10"/>
      <c r="Q487" s="11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L488" s="10"/>
      <c r="M488" s="10"/>
      <c r="N488" s="10"/>
      <c r="O488" s="10"/>
      <c r="P488" s="10"/>
      <c r="Q488" s="11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L489" s="10"/>
      <c r="M489" s="10"/>
      <c r="N489" s="10"/>
      <c r="O489" s="10"/>
      <c r="P489" s="10"/>
      <c r="Q489" s="11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L490" s="10"/>
      <c r="M490" s="10"/>
      <c r="N490" s="10"/>
      <c r="O490" s="10"/>
      <c r="P490" s="10"/>
      <c r="Q490" s="11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L491" s="10"/>
      <c r="M491" s="10"/>
      <c r="N491" s="10"/>
      <c r="O491" s="10"/>
      <c r="P491" s="10"/>
      <c r="Q491" s="11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L492" s="10"/>
      <c r="M492" s="10"/>
      <c r="N492" s="10"/>
      <c r="O492" s="10"/>
      <c r="P492" s="10"/>
      <c r="Q492" s="11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L493" s="10"/>
      <c r="M493" s="10"/>
      <c r="N493" s="10"/>
      <c r="O493" s="10"/>
      <c r="P493" s="10"/>
      <c r="Q493" s="11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L494" s="10"/>
      <c r="M494" s="10"/>
      <c r="N494" s="10"/>
      <c r="O494" s="10"/>
      <c r="P494" s="10"/>
      <c r="Q494" s="11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L495" s="10"/>
      <c r="M495" s="10"/>
      <c r="N495" s="10"/>
      <c r="O495" s="10"/>
      <c r="P495" s="10"/>
      <c r="Q495" s="11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L496" s="10"/>
      <c r="M496" s="10"/>
      <c r="N496" s="10"/>
      <c r="O496" s="10"/>
      <c r="P496" s="10"/>
      <c r="Q496" s="11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L497" s="10"/>
      <c r="M497" s="10"/>
      <c r="N497" s="10"/>
      <c r="O497" s="10"/>
      <c r="P497" s="10"/>
      <c r="Q497" s="11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L498" s="10"/>
      <c r="M498" s="10"/>
      <c r="N498" s="10"/>
      <c r="O498" s="10"/>
      <c r="P498" s="10"/>
      <c r="Q498" s="11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L499" s="10"/>
      <c r="M499" s="10"/>
      <c r="N499" s="10"/>
      <c r="O499" s="10"/>
      <c r="P499" s="10"/>
      <c r="Q499" s="11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L500" s="10"/>
      <c r="M500" s="10"/>
      <c r="N500" s="10"/>
      <c r="O500" s="10"/>
      <c r="P500" s="10"/>
      <c r="Q500" s="11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L501" s="10"/>
      <c r="M501" s="10"/>
      <c r="N501" s="10"/>
      <c r="O501" s="10"/>
      <c r="P501" s="10"/>
      <c r="Q501" s="11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L502" s="10"/>
      <c r="M502" s="10"/>
      <c r="N502" s="10"/>
      <c r="O502" s="10"/>
      <c r="P502" s="10"/>
      <c r="Q502" s="11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L503" s="10"/>
      <c r="M503" s="10"/>
      <c r="N503" s="10"/>
      <c r="O503" s="10"/>
      <c r="P503" s="10"/>
      <c r="Q503" s="11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L504" s="10"/>
      <c r="M504" s="10"/>
      <c r="N504" s="10"/>
      <c r="O504" s="10"/>
      <c r="P504" s="10"/>
      <c r="Q504" s="11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L505" s="10"/>
      <c r="M505" s="10"/>
      <c r="N505" s="10"/>
      <c r="O505" s="10"/>
      <c r="P505" s="10"/>
      <c r="Q505" s="11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L506" s="10"/>
      <c r="M506" s="10"/>
      <c r="N506" s="10"/>
      <c r="O506" s="10"/>
      <c r="P506" s="10"/>
      <c r="Q506" s="11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L507" s="10"/>
      <c r="M507" s="10"/>
      <c r="N507" s="10"/>
      <c r="O507" s="10"/>
      <c r="P507" s="10"/>
      <c r="Q507" s="11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L508" s="10"/>
      <c r="M508" s="10"/>
      <c r="N508" s="10"/>
      <c r="O508" s="10"/>
      <c r="P508" s="10"/>
      <c r="Q508" s="11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L509" s="10"/>
      <c r="M509" s="10"/>
      <c r="N509" s="10"/>
      <c r="O509" s="10"/>
      <c r="P509" s="10"/>
      <c r="Q509" s="11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L510" s="10"/>
      <c r="M510" s="10"/>
      <c r="N510" s="10"/>
      <c r="O510" s="10"/>
      <c r="P510" s="10"/>
      <c r="Q510" s="11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L511" s="10"/>
      <c r="M511" s="10"/>
      <c r="N511" s="10"/>
      <c r="O511" s="10"/>
      <c r="P511" s="10"/>
      <c r="Q511" s="11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L512" s="10"/>
      <c r="M512" s="10"/>
      <c r="N512" s="10"/>
      <c r="O512" s="10"/>
      <c r="P512" s="10"/>
      <c r="Q512" s="11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L513" s="10"/>
      <c r="M513" s="10"/>
      <c r="N513" s="10"/>
      <c r="O513" s="10"/>
      <c r="P513" s="10"/>
      <c r="Q513" s="11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L514" s="10"/>
      <c r="M514" s="10"/>
      <c r="N514" s="10"/>
      <c r="O514" s="10"/>
      <c r="P514" s="10"/>
      <c r="Q514" s="11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L515" s="10"/>
      <c r="M515" s="10"/>
      <c r="N515" s="10"/>
      <c r="O515" s="10"/>
      <c r="P515" s="10"/>
      <c r="Q515" s="11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L516" s="10"/>
      <c r="M516" s="10"/>
      <c r="N516" s="10"/>
      <c r="O516" s="10"/>
      <c r="P516" s="10"/>
      <c r="Q516" s="11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L517" s="10"/>
      <c r="M517" s="10"/>
      <c r="N517" s="10"/>
      <c r="O517" s="10"/>
      <c r="P517" s="10"/>
      <c r="Q517" s="11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L518" s="10"/>
      <c r="M518" s="10"/>
      <c r="N518" s="10"/>
      <c r="O518" s="10"/>
      <c r="P518" s="10"/>
      <c r="Q518" s="11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L519" s="10"/>
      <c r="M519" s="10"/>
      <c r="N519" s="10"/>
      <c r="O519" s="10"/>
      <c r="P519" s="10"/>
      <c r="Q519" s="11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L520" s="10"/>
      <c r="M520" s="10"/>
      <c r="N520" s="10"/>
      <c r="O520" s="10"/>
      <c r="P520" s="10"/>
      <c r="Q520" s="11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L521" s="10"/>
      <c r="M521" s="10"/>
      <c r="N521" s="10"/>
      <c r="O521" s="10"/>
      <c r="P521" s="10"/>
      <c r="Q521" s="11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L522" s="10"/>
      <c r="M522" s="10"/>
      <c r="N522" s="10"/>
      <c r="O522" s="10"/>
      <c r="P522" s="10"/>
      <c r="Q522" s="11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L523" s="10"/>
      <c r="M523" s="10"/>
      <c r="N523" s="10"/>
      <c r="O523" s="10"/>
      <c r="P523" s="10"/>
      <c r="Q523" s="11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L524" s="10"/>
      <c r="M524" s="10"/>
      <c r="N524" s="10"/>
      <c r="O524" s="10"/>
      <c r="P524" s="10"/>
      <c r="Q524" s="11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L525" s="10"/>
      <c r="M525" s="10"/>
      <c r="N525" s="10"/>
      <c r="O525" s="10"/>
      <c r="P525" s="10"/>
      <c r="Q525" s="11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L526" s="10"/>
      <c r="M526" s="10"/>
      <c r="N526" s="10"/>
      <c r="O526" s="10"/>
      <c r="P526" s="10"/>
      <c r="Q526" s="11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L527" s="10"/>
      <c r="M527" s="10"/>
      <c r="N527" s="10"/>
      <c r="O527" s="10"/>
      <c r="P527" s="10"/>
      <c r="Q527" s="11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L528" s="10"/>
      <c r="M528" s="10"/>
      <c r="N528" s="10"/>
      <c r="O528" s="10"/>
      <c r="P528" s="10"/>
      <c r="Q528" s="11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L529" s="10"/>
      <c r="M529" s="10"/>
      <c r="N529" s="10"/>
      <c r="O529" s="10"/>
      <c r="P529" s="10"/>
      <c r="Q529" s="11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L530" s="10"/>
      <c r="M530" s="10"/>
      <c r="N530" s="10"/>
      <c r="O530" s="10"/>
      <c r="P530" s="10"/>
      <c r="Q530" s="11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L531" s="10"/>
      <c r="M531" s="10"/>
      <c r="N531" s="10"/>
      <c r="O531" s="10"/>
      <c r="P531" s="10"/>
      <c r="Q531" s="11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L532" s="10"/>
      <c r="M532" s="10"/>
      <c r="N532" s="10"/>
      <c r="O532" s="10"/>
      <c r="P532" s="10"/>
      <c r="Q532" s="11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L533" s="10"/>
      <c r="M533" s="10"/>
      <c r="N533" s="10"/>
      <c r="O533" s="10"/>
      <c r="P533" s="10"/>
      <c r="Q533" s="11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L534" s="10"/>
      <c r="M534" s="10"/>
      <c r="N534" s="10"/>
      <c r="O534" s="10"/>
      <c r="P534" s="10"/>
      <c r="Q534" s="11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L535" s="10"/>
      <c r="M535" s="10"/>
      <c r="N535" s="10"/>
      <c r="O535" s="10"/>
      <c r="P535" s="10"/>
      <c r="Q535" s="11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L536" s="10"/>
      <c r="M536" s="10"/>
      <c r="N536" s="10"/>
      <c r="O536" s="10"/>
      <c r="P536" s="10"/>
      <c r="Q536" s="11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L537" s="10"/>
      <c r="M537" s="10"/>
      <c r="N537" s="10"/>
      <c r="O537" s="10"/>
      <c r="P537" s="10"/>
      <c r="Q537" s="11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L538" s="10"/>
      <c r="M538" s="10"/>
      <c r="N538" s="10"/>
      <c r="O538" s="10"/>
      <c r="P538" s="10"/>
      <c r="Q538" s="11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L539" s="10"/>
      <c r="M539" s="10"/>
      <c r="N539" s="10"/>
      <c r="O539" s="10"/>
      <c r="P539" s="10"/>
      <c r="Q539" s="11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L540" s="10"/>
      <c r="M540" s="10"/>
      <c r="N540" s="10"/>
      <c r="O540" s="10"/>
      <c r="P540" s="10"/>
      <c r="Q540" s="11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L541" s="10"/>
      <c r="M541" s="10"/>
      <c r="N541" s="10"/>
      <c r="O541" s="10"/>
      <c r="P541" s="10"/>
      <c r="Q541" s="11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L542" s="10"/>
      <c r="M542" s="10"/>
      <c r="N542" s="10"/>
      <c r="O542" s="10"/>
      <c r="P542" s="10"/>
      <c r="Q542" s="11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L543" s="10"/>
      <c r="M543" s="10"/>
      <c r="N543" s="10"/>
      <c r="O543" s="10"/>
      <c r="P543" s="10"/>
      <c r="Q543" s="11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L544" s="10"/>
      <c r="M544" s="10"/>
      <c r="N544" s="10"/>
      <c r="O544" s="10"/>
      <c r="P544" s="10"/>
      <c r="Q544" s="11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L545" s="10"/>
      <c r="M545" s="10"/>
      <c r="N545" s="10"/>
      <c r="O545" s="10"/>
      <c r="P545" s="10"/>
      <c r="Q545" s="11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L546" s="10"/>
      <c r="M546" s="10"/>
      <c r="N546" s="10"/>
      <c r="O546" s="10"/>
      <c r="P546" s="10"/>
      <c r="Q546" s="11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L547" s="10"/>
      <c r="M547" s="10"/>
      <c r="N547" s="10"/>
      <c r="O547" s="10"/>
      <c r="P547" s="10"/>
      <c r="Q547" s="11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L548" s="10"/>
      <c r="M548" s="10"/>
      <c r="N548" s="10"/>
      <c r="O548" s="10"/>
      <c r="P548" s="10"/>
      <c r="Q548" s="11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L549" s="10"/>
      <c r="M549" s="10"/>
      <c r="N549" s="10"/>
      <c r="O549" s="10"/>
      <c r="P549" s="10"/>
      <c r="Q549" s="11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L550" s="10"/>
      <c r="M550" s="10"/>
      <c r="N550" s="10"/>
      <c r="O550" s="10"/>
      <c r="P550" s="10"/>
      <c r="Q550" s="11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L551" s="10"/>
      <c r="M551" s="10"/>
      <c r="N551" s="10"/>
      <c r="O551" s="10"/>
      <c r="P551" s="10"/>
      <c r="Q551" s="11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L552" s="10"/>
      <c r="M552" s="10"/>
      <c r="N552" s="10"/>
      <c r="O552" s="10"/>
      <c r="P552" s="10"/>
      <c r="Q552" s="11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L553" s="10"/>
      <c r="M553" s="10"/>
      <c r="N553" s="10"/>
      <c r="O553" s="10"/>
      <c r="P553" s="10"/>
      <c r="Q553" s="11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L554" s="10"/>
      <c r="M554" s="10"/>
      <c r="N554" s="10"/>
      <c r="O554" s="10"/>
      <c r="P554" s="10"/>
      <c r="Q554" s="11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L555" s="10"/>
      <c r="M555" s="10"/>
      <c r="N555" s="10"/>
      <c r="O555" s="10"/>
      <c r="P555" s="10"/>
      <c r="Q555" s="11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L556" s="10"/>
      <c r="M556" s="10"/>
      <c r="N556" s="10"/>
      <c r="O556" s="10"/>
      <c r="P556" s="10"/>
      <c r="Q556" s="11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L557" s="10"/>
      <c r="M557" s="10"/>
      <c r="N557" s="10"/>
      <c r="O557" s="10"/>
      <c r="P557" s="10"/>
      <c r="Q557" s="11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L558" s="10"/>
      <c r="M558" s="10"/>
      <c r="N558" s="10"/>
      <c r="O558" s="10"/>
      <c r="P558" s="10"/>
      <c r="Q558" s="11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L559" s="10"/>
      <c r="M559" s="10"/>
      <c r="N559" s="10"/>
      <c r="O559" s="10"/>
      <c r="P559" s="10"/>
      <c r="Q559" s="11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L560" s="10"/>
      <c r="M560" s="10"/>
      <c r="N560" s="10"/>
      <c r="O560" s="10"/>
      <c r="P560" s="10"/>
      <c r="Q560" s="11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L561" s="10"/>
      <c r="M561" s="10"/>
      <c r="N561" s="10"/>
      <c r="O561" s="10"/>
      <c r="P561" s="10"/>
      <c r="Q561" s="11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L562" s="10"/>
      <c r="M562" s="10"/>
      <c r="N562" s="10"/>
      <c r="O562" s="10"/>
      <c r="P562" s="10"/>
      <c r="Q562" s="11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L563" s="10"/>
      <c r="M563" s="10"/>
      <c r="N563" s="10"/>
      <c r="O563" s="10"/>
      <c r="P563" s="10"/>
      <c r="Q563" s="11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L564" s="10"/>
      <c r="M564" s="10"/>
      <c r="N564" s="10"/>
      <c r="O564" s="10"/>
      <c r="P564" s="10"/>
      <c r="Q564" s="11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L565" s="10"/>
      <c r="M565" s="10"/>
      <c r="N565" s="10"/>
      <c r="O565" s="10"/>
      <c r="P565" s="10"/>
      <c r="Q565" s="11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L566" s="10"/>
      <c r="M566" s="10"/>
      <c r="N566" s="10"/>
      <c r="O566" s="10"/>
      <c r="P566" s="10"/>
      <c r="Q566" s="11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L567" s="10"/>
      <c r="M567" s="10"/>
      <c r="N567" s="10"/>
      <c r="O567" s="10"/>
      <c r="P567" s="10"/>
      <c r="Q567" s="11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L568" s="10"/>
      <c r="M568" s="10"/>
      <c r="N568" s="10"/>
      <c r="O568" s="10"/>
      <c r="P568" s="10"/>
      <c r="Q568" s="11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L569" s="10"/>
      <c r="M569" s="10"/>
      <c r="N569" s="10"/>
      <c r="O569" s="10"/>
      <c r="P569" s="10"/>
      <c r="Q569" s="11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L570" s="10"/>
      <c r="M570" s="10"/>
      <c r="N570" s="10"/>
      <c r="O570" s="10"/>
      <c r="P570" s="10"/>
      <c r="Q570" s="11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L571" s="10"/>
      <c r="M571" s="10"/>
      <c r="N571" s="10"/>
      <c r="O571" s="10"/>
      <c r="P571" s="10"/>
      <c r="Q571" s="11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L572" s="10"/>
      <c r="M572" s="10"/>
      <c r="N572" s="10"/>
      <c r="O572" s="10"/>
      <c r="P572" s="10"/>
      <c r="Q572" s="11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L573" s="10"/>
      <c r="M573" s="10"/>
      <c r="N573" s="10"/>
      <c r="O573" s="10"/>
      <c r="P573" s="10"/>
      <c r="Q573" s="11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L574" s="10"/>
      <c r="M574" s="10"/>
      <c r="N574" s="10"/>
      <c r="O574" s="10"/>
      <c r="P574" s="10"/>
      <c r="Q574" s="11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L575" s="10"/>
      <c r="M575" s="10"/>
      <c r="N575" s="10"/>
      <c r="O575" s="10"/>
      <c r="P575" s="10"/>
      <c r="Q575" s="11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L576" s="10"/>
      <c r="M576" s="10"/>
      <c r="N576" s="10"/>
      <c r="O576" s="10"/>
      <c r="P576" s="10"/>
      <c r="Q576" s="11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L577" s="10"/>
      <c r="M577" s="10"/>
      <c r="N577" s="10"/>
      <c r="O577" s="10"/>
      <c r="P577" s="10"/>
      <c r="Q577" s="11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L578" s="10"/>
      <c r="M578" s="10"/>
      <c r="N578" s="10"/>
      <c r="O578" s="10"/>
      <c r="P578" s="10"/>
      <c r="Q578" s="11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L579" s="10"/>
      <c r="M579" s="10"/>
      <c r="N579" s="10"/>
      <c r="O579" s="10"/>
      <c r="P579" s="10"/>
      <c r="Q579" s="11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L580" s="10"/>
      <c r="M580" s="10"/>
      <c r="N580" s="10"/>
      <c r="O580" s="10"/>
      <c r="P580" s="10"/>
      <c r="Q580" s="11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L581" s="10"/>
      <c r="M581" s="10"/>
      <c r="N581" s="10"/>
      <c r="O581" s="10"/>
      <c r="P581" s="10"/>
      <c r="Q581" s="11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L582" s="10"/>
      <c r="M582" s="10"/>
      <c r="N582" s="10"/>
      <c r="O582" s="10"/>
      <c r="P582" s="10"/>
      <c r="Q582" s="11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L583" s="10"/>
      <c r="M583" s="10"/>
      <c r="N583" s="10"/>
      <c r="O583" s="10"/>
      <c r="P583" s="10"/>
      <c r="Q583" s="11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L584" s="10"/>
      <c r="M584" s="10"/>
      <c r="N584" s="10"/>
      <c r="O584" s="10"/>
      <c r="P584" s="10"/>
      <c r="Q584" s="11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L585" s="10"/>
      <c r="M585" s="10"/>
      <c r="N585" s="10"/>
      <c r="O585" s="10"/>
      <c r="P585" s="10"/>
      <c r="Q585" s="11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L586" s="10"/>
      <c r="M586" s="10"/>
      <c r="N586" s="10"/>
      <c r="O586" s="10"/>
      <c r="P586" s="10"/>
      <c r="Q586" s="11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L587" s="10"/>
      <c r="M587" s="10"/>
      <c r="N587" s="10"/>
      <c r="O587" s="10"/>
      <c r="P587" s="10"/>
      <c r="Q587" s="11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L588" s="10"/>
      <c r="M588" s="10"/>
      <c r="N588" s="10"/>
      <c r="O588" s="10"/>
      <c r="P588" s="10"/>
      <c r="Q588" s="11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L589" s="10"/>
      <c r="M589" s="10"/>
      <c r="N589" s="10"/>
      <c r="O589" s="10"/>
      <c r="P589" s="10"/>
      <c r="Q589" s="11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L590" s="10"/>
      <c r="M590" s="10"/>
      <c r="N590" s="10"/>
      <c r="O590" s="10"/>
      <c r="P590" s="10"/>
      <c r="Q590" s="11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L591" s="10"/>
      <c r="M591" s="10"/>
      <c r="N591" s="10"/>
      <c r="O591" s="10"/>
      <c r="P591" s="10"/>
      <c r="Q591" s="11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L592" s="10"/>
      <c r="M592" s="10"/>
      <c r="N592" s="10"/>
      <c r="O592" s="10"/>
      <c r="P592" s="10"/>
      <c r="Q592" s="11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L593" s="10"/>
      <c r="M593" s="10"/>
      <c r="N593" s="10"/>
      <c r="O593" s="10"/>
      <c r="P593" s="10"/>
      <c r="Q593" s="11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L594" s="10"/>
      <c r="M594" s="10"/>
      <c r="N594" s="10"/>
      <c r="O594" s="10"/>
      <c r="P594" s="10"/>
      <c r="Q594" s="11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L595" s="10"/>
      <c r="M595" s="10"/>
      <c r="N595" s="10"/>
      <c r="O595" s="10"/>
      <c r="P595" s="10"/>
      <c r="Q595" s="11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L596" s="10"/>
      <c r="M596" s="10"/>
      <c r="N596" s="10"/>
      <c r="O596" s="10"/>
      <c r="P596" s="10"/>
      <c r="Q596" s="11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L597" s="10"/>
      <c r="M597" s="10"/>
      <c r="N597" s="10"/>
      <c r="O597" s="10"/>
      <c r="P597" s="10"/>
      <c r="Q597" s="11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L598" s="10"/>
      <c r="M598" s="10"/>
      <c r="N598" s="10"/>
      <c r="O598" s="10"/>
      <c r="P598" s="10"/>
      <c r="Q598" s="11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L599" s="10"/>
      <c r="M599" s="10"/>
      <c r="N599" s="10"/>
      <c r="O599" s="10"/>
      <c r="P599" s="10"/>
      <c r="Q599" s="11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L600" s="10"/>
      <c r="M600" s="10"/>
      <c r="N600" s="10"/>
      <c r="O600" s="10"/>
      <c r="P600" s="10"/>
      <c r="Q600" s="11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L601" s="10"/>
      <c r="M601" s="10"/>
      <c r="N601" s="10"/>
      <c r="O601" s="10"/>
      <c r="P601" s="10"/>
      <c r="Q601" s="11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L602" s="10"/>
      <c r="M602" s="10"/>
      <c r="N602" s="10"/>
      <c r="O602" s="10"/>
      <c r="P602" s="10"/>
      <c r="Q602" s="11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L603" s="10"/>
      <c r="M603" s="10"/>
      <c r="N603" s="10"/>
      <c r="O603" s="10"/>
      <c r="P603" s="10"/>
      <c r="Q603" s="11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L604" s="10"/>
      <c r="M604" s="10"/>
      <c r="N604" s="10"/>
      <c r="O604" s="10"/>
      <c r="P604" s="10"/>
      <c r="Q604" s="11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L605" s="10"/>
      <c r="M605" s="10"/>
      <c r="N605" s="10"/>
      <c r="O605" s="10"/>
      <c r="P605" s="10"/>
      <c r="Q605" s="11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L606" s="10"/>
      <c r="M606" s="10"/>
      <c r="N606" s="10"/>
      <c r="O606" s="10"/>
      <c r="P606" s="10"/>
      <c r="Q606" s="11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L607" s="10"/>
      <c r="M607" s="10"/>
      <c r="N607" s="10"/>
      <c r="O607" s="10"/>
      <c r="P607" s="10"/>
      <c r="Q607" s="11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L608" s="10"/>
      <c r="M608" s="10"/>
      <c r="N608" s="10"/>
      <c r="O608" s="10"/>
      <c r="P608" s="10"/>
      <c r="Q608" s="11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L609" s="10"/>
      <c r="M609" s="10"/>
      <c r="N609" s="10"/>
      <c r="O609" s="10"/>
      <c r="P609" s="10"/>
      <c r="Q609" s="11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L610" s="10"/>
      <c r="M610" s="10"/>
      <c r="N610" s="10"/>
      <c r="O610" s="10"/>
      <c r="P610" s="10"/>
      <c r="Q610" s="11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L611" s="10"/>
      <c r="M611" s="10"/>
      <c r="N611" s="10"/>
      <c r="O611" s="10"/>
      <c r="P611" s="10"/>
      <c r="Q611" s="11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L612" s="10"/>
      <c r="M612" s="10"/>
      <c r="N612" s="10"/>
      <c r="O612" s="10"/>
      <c r="P612" s="10"/>
      <c r="Q612" s="11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L613" s="10"/>
      <c r="M613" s="10"/>
      <c r="N613" s="10"/>
      <c r="O613" s="10"/>
      <c r="P613" s="10"/>
      <c r="Q613" s="11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L614" s="10"/>
      <c r="M614" s="10"/>
      <c r="N614" s="10"/>
      <c r="O614" s="10"/>
      <c r="P614" s="10"/>
      <c r="Q614" s="11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L615" s="10"/>
      <c r="M615" s="10"/>
      <c r="N615" s="10"/>
      <c r="O615" s="10"/>
      <c r="P615" s="10"/>
      <c r="Q615" s="11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L616" s="10"/>
      <c r="M616" s="10"/>
      <c r="N616" s="10"/>
      <c r="O616" s="10"/>
      <c r="P616" s="10"/>
      <c r="Q616" s="11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L617" s="10"/>
      <c r="M617" s="10"/>
      <c r="N617" s="10"/>
      <c r="O617" s="10"/>
      <c r="P617" s="10"/>
      <c r="Q617" s="11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L618" s="10"/>
      <c r="M618" s="10"/>
      <c r="N618" s="10"/>
      <c r="O618" s="10"/>
      <c r="P618" s="10"/>
      <c r="Q618" s="11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L619" s="10"/>
      <c r="M619" s="10"/>
      <c r="N619" s="10"/>
      <c r="O619" s="10"/>
      <c r="P619" s="10"/>
      <c r="Q619" s="11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L620" s="10"/>
      <c r="M620" s="10"/>
      <c r="N620" s="10"/>
      <c r="O620" s="10"/>
      <c r="P620" s="10"/>
      <c r="Q620" s="11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L621" s="10"/>
      <c r="M621" s="10"/>
      <c r="N621" s="10"/>
      <c r="O621" s="10"/>
      <c r="P621" s="10"/>
      <c r="Q621" s="11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L622" s="10"/>
      <c r="M622" s="10"/>
      <c r="N622" s="10"/>
      <c r="O622" s="10"/>
      <c r="P622" s="10"/>
      <c r="Q622" s="11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L623" s="10"/>
      <c r="M623" s="10"/>
      <c r="N623" s="10"/>
      <c r="O623" s="10"/>
      <c r="P623" s="10"/>
      <c r="Q623" s="11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L624" s="10"/>
      <c r="M624" s="10"/>
      <c r="N624" s="10"/>
      <c r="O624" s="10"/>
      <c r="P624" s="10"/>
      <c r="Q624" s="11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L625" s="10"/>
      <c r="M625" s="10"/>
      <c r="N625" s="10"/>
      <c r="O625" s="10"/>
      <c r="P625" s="10"/>
      <c r="Q625" s="11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L626" s="10"/>
      <c r="M626" s="10"/>
      <c r="N626" s="10"/>
      <c r="O626" s="10"/>
      <c r="P626" s="10"/>
      <c r="Q626" s="11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L627" s="10"/>
      <c r="M627" s="10"/>
      <c r="N627" s="10"/>
      <c r="O627" s="10"/>
      <c r="P627" s="10"/>
      <c r="Q627" s="11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L628" s="10"/>
      <c r="M628" s="10"/>
      <c r="N628" s="10"/>
      <c r="O628" s="10"/>
      <c r="P628" s="10"/>
      <c r="Q628" s="11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L629" s="10"/>
      <c r="M629" s="10"/>
      <c r="N629" s="10"/>
      <c r="O629" s="10"/>
      <c r="P629" s="10"/>
      <c r="Q629" s="11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L630" s="10"/>
      <c r="M630" s="10"/>
      <c r="N630" s="10"/>
      <c r="O630" s="10"/>
      <c r="P630" s="10"/>
      <c r="Q630" s="11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L631" s="10"/>
      <c r="M631" s="10"/>
      <c r="N631" s="10"/>
      <c r="O631" s="10"/>
      <c r="P631" s="10"/>
      <c r="Q631" s="11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L632" s="10"/>
      <c r="M632" s="10"/>
      <c r="N632" s="10"/>
      <c r="O632" s="10"/>
      <c r="P632" s="10"/>
      <c r="Q632" s="11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L633" s="10"/>
      <c r="M633" s="10"/>
      <c r="N633" s="10"/>
      <c r="O633" s="10"/>
      <c r="P633" s="10"/>
      <c r="Q633" s="11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L634" s="10"/>
      <c r="M634" s="10"/>
      <c r="N634" s="10"/>
      <c r="O634" s="10"/>
      <c r="P634" s="10"/>
      <c r="Q634" s="11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L635" s="10"/>
      <c r="M635" s="10"/>
      <c r="N635" s="10"/>
      <c r="O635" s="10"/>
      <c r="P635" s="10"/>
      <c r="Q635" s="11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L636" s="10"/>
      <c r="M636" s="10"/>
      <c r="N636" s="10"/>
      <c r="O636" s="10"/>
      <c r="P636" s="10"/>
      <c r="Q636" s="11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L637" s="10"/>
      <c r="M637" s="10"/>
      <c r="N637" s="10"/>
      <c r="O637" s="10"/>
      <c r="P637" s="10"/>
      <c r="Q637" s="11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L638" s="10"/>
      <c r="M638" s="10"/>
      <c r="N638" s="10"/>
      <c r="O638" s="10"/>
      <c r="P638" s="10"/>
      <c r="Q638" s="11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L639" s="10"/>
      <c r="M639" s="10"/>
      <c r="N639" s="10"/>
      <c r="O639" s="10"/>
      <c r="P639" s="10"/>
      <c r="Q639" s="11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L640" s="10"/>
      <c r="M640" s="10"/>
      <c r="N640" s="10"/>
      <c r="O640" s="10"/>
      <c r="P640" s="10"/>
      <c r="Q640" s="11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L641" s="10"/>
      <c r="M641" s="10"/>
      <c r="N641" s="10"/>
      <c r="O641" s="10"/>
      <c r="P641" s="10"/>
      <c r="Q641" s="11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L642" s="10"/>
      <c r="M642" s="10"/>
      <c r="N642" s="10"/>
      <c r="O642" s="10"/>
      <c r="P642" s="10"/>
      <c r="Q642" s="11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L643" s="10"/>
      <c r="M643" s="10"/>
      <c r="N643" s="10"/>
      <c r="O643" s="10"/>
      <c r="P643" s="10"/>
      <c r="Q643" s="11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L644" s="10"/>
      <c r="M644" s="10"/>
      <c r="N644" s="10"/>
      <c r="O644" s="10"/>
      <c r="P644" s="10"/>
      <c r="Q644" s="11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L645" s="10"/>
      <c r="M645" s="10"/>
      <c r="N645" s="10"/>
      <c r="O645" s="10"/>
      <c r="P645" s="10"/>
      <c r="Q645" s="11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L646" s="10"/>
      <c r="M646" s="10"/>
      <c r="N646" s="10"/>
      <c r="O646" s="10"/>
      <c r="P646" s="10"/>
      <c r="Q646" s="11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L647" s="10"/>
      <c r="M647" s="10"/>
      <c r="N647" s="10"/>
      <c r="O647" s="10"/>
      <c r="P647" s="10"/>
      <c r="Q647" s="11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L648" s="10"/>
      <c r="M648" s="10"/>
      <c r="N648" s="10"/>
      <c r="O648" s="10"/>
      <c r="P648" s="10"/>
      <c r="Q648" s="11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L649" s="10"/>
      <c r="M649" s="10"/>
      <c r="N649" s="10"/>
      <c r="O649" s="10"/>
      <c r="P649" s="10"/>
      <c r="Q649" s="11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L650" s="10"/>
      <c r="M650" s="10"/>
      <c r="N650" s="10"/>
      <c r="O650" s="10"/>
      <c r="P650" s="10"/>
      <c r="Q650" s="11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L651" s="10"/>
      <c r="M651" s="10"/>
      <c r="N651" s="10"/>
      <c r="O651" s="10"/>
      <c r="P651" s="10"/>
      <c r="Q651" s="11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L652" s="10"/>
      <c r="M652" s="10"/>
      <c r="N652" s="10"/>
      <c r="O652" s="10"/>
      <c r="P652" s="10"/>
      <c r="Q652" s="11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L653" s="10"/>
      <c r="M653" s="10"/>
      <c r="N653" s="10"/>
      <c r="O653" s="10"/>
      <c r="P653" s="10"/>
      <c r="Q653" s="11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L654" s="10"/>
      <c r="M654" s="10"/>
      <c r="N654" s="10"/>
      <c r="O654" s="10"/>
      <c r="P654" s="10"/>
      <c r="Q654" s="11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L655" s="10"/>
      <c r="M655" s="10"/>
      <c r="N655" s="10"/>
      <c r="O655" s="10"/>
      <c r="P655" s="10"/>
      <c r="Q655" s="11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L656" s="10"/>
      <c r="M656" s="10"/>
      <c r="N656" s="10"/>
      <c r="O656" s="10"/>
      <c r="P656" s="10"/>
      <c r="Q656" s="11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L657" s="10"/>
      <c r="M657" s="10"/>
      <c r="N657" s="10"/>
      <c r="O657" s="10"/>
      <c r="P657" s="10"/>
      <c r="Q657" s="11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L658" s="10"/>
      <c r="M658" s="10"/>
      <c r="N658" s="10"/>
      <c r="O658" s="10"/>
      <c r="P658" s="10"/>
      <c r="Q658" s="11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L659" s="10"/>
      <c r="M659" s="10"/>
      <c r="N659" s="10"/>
      <c r="O659" s="10"/>
      <c r="P659" s="10"/>
      <c r="Q659" s="11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L660" s="10"/>
      <c r="M660" s="10"/>
      <c r="N660" s="10"/>
      <c r="O660" s="10"/>
      <c r="P660" s="10"/>
      <c r="Q660" s="11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L661" s="10"/>
      <c r="M661" s="10"/>
      <c r="N661" s="10"/>
      <c r="O661" s="10"/>
      <c r="P661" s="10"/>
      <c r="Q661" s="11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L662" s="10"/>
      <c r="M662" s="10"/>
      <c r="N662" s="10"/>
      <c r="O662" s="10"/>
      <c r="P662" s="10"/>
      <c r="Q662" s="11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L663" s="10"/>
      <c r="M663" s="10"/>
      <c r="N663" s="10"/>
      <c r="O663" s="10"/>
      <c r="P663" s="10"/>
      <c r="Q663" s="11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L664" s="10"/>
      <c r="M664" s="10"/>
      <c r="N664" s="10"/>
      <c r="O664" s="10"/>
      <c r="P664" s="10"/>
      <c r="Q664" s="11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L665" s="10"/>
      <c r="M665" s="10"/>
      <c r="N665" s="10"/>
      <c r="O665" s="10"/>
      <c r="P665" s="10"/>
      <c r="Q665" s="11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L666" s="10"/>
      <c r="M666" s="10"/>
      <c r="N666" s="10"/>
      <c r="O666" s="10"/>
      <c r="P666" s="10"/>
      <c r="Q666" s="11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L667" s="10"/>
      <c r="M667" s="10"/>
      <c r="N667" s="10"/>
      <c r="O667" s="10"/>
      <c r="P667" s="10"/>
      <c r="Q667" s="11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L668" s="10"/>
      <c r="M668" s="10"/>
      <c r="N668" s="10"/>
      <c r="O668" s="10"/>
      <c r="P668" s="10"/>
      <c r="Q668" s="11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L669" s="10"/>
      <c r="M669" s="10"/>
      <c r="N669" s="10"/>
      <c r="O669" s="10"/>
      <c r="P669" s="10"/>
      <c r="Q669" s="11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L670" s="10"/>
      <c r="M670" s="10"/>
      <c r="N670" s="10"/>
      <c r="O670" s="10"/>
      <c r="P670" s="10"/>
      <c r="Q670" s="11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L671" s="10"/>
      <c r="M671" s="10"/>
      <c r="N671" s="10"/>
      <c r="O671" s="10"/>
      <c r="P671" s="10"/>
      <c r="Q671" s="11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L672" s="10"/>
      <c r="M672" s="10"/>
      <c r="N672" s="10"/>
      <c r="O672" s="10"/>
      <c r="P672" s="10"/>
      <c r="Q672" s="11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L673" s="10"/>
      <c r="M673" s="10"/>
      <c r="N673" s="10"/>
      <c r="O673" s="10"/>
      <c r="P673" s="10"/>
      <c r="Q673" s="11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L674" s="10"/>
      <c r="M674" s="10"/>
      <c r="N674" s="10"/>
      <c r="O674" s="10"/>
      <c r="P674" s="10"/>
      <c r="Q674" s="11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L675" s="10"/>
      <c r="M675" s="10"/>
      <c r="N675" s="10"/>
      <c r="O675" s="10"/>
      <c r="P675" s="10"/>
      <c r="Q675" s="11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L676" s="10"/>
      <c r="M676" s="10"/>
      <c r="N676" s="10"/>
      <c r="O676" s="10"/>
      <c r="P676" s="10"/>
      <c r="Q676" s="11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L677" s="10"/>
      <c r="M677" s="10"/>
      <c r="N677" s="10"/>
      <c r="O677" s="10"/>
      <c r="P677" s="10"/>
      <c r="Q677" s="11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L678" s="10"/>
      <c r="M678" s="10"/>
      <c r="N678" s="10"/>
      <c r="O678" s="10"/>
      <c r="P678" s="10"/>
      <c r="Q678" s="11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L679" s="10"/>
      <c r="M679" s="10"/>
      <c r="N679" s="10"/>
      <c r="O679" s="10"/>
      <c r="P679" s="10"/>
      <c r="Q679" s="11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L680" s="10"/>
      <c r="M680" s="10"/>
      <c r="N680" s="10"/>
      <c r="O680" s="10"/>
      <c r="P680" s="10"/>
      <c r="Q680" s="11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L681" s="10"/>
      <c r="M681" s="10"/>
      <c r="N681" s="10"/>
      <c r="O681" s="10"/>
      <c r="P681" s="10"/>
      <c r="Q681" s="11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L682" s="10"/>
      <c r="M682" s="10"/>
      <c r="N682" s="10"/>
      <c r="O682" s="10"/>
      <c r="P682" s="10"/>
      <c r="Q682" s="11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L683" s="10"/>
      <c r="M683" s="10"/>
      <c r="N683" s="10"/>
      <c r="O683" s="10"/>
      <c r="P683" s="10"/>
      <c r="Q683" s="11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L684" s="10"/>
      <c r="M684" s="10"/>
      <c r="N684" s="10"/>
      <c r="O684" s="10"/>
      <c r="P684" s="10"/>
      <c r="Q684" s="11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L685" s="10"/>
      <c r="M685" s="10"/>
      <c r="N685" s="10"/>
      <c r="O685" s="10"/>
      <c r="P685" s="10"/>
      <c r="Q685" s="11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L686" s="10"/>
      <c r="M686" s="10"/>
      <c r="N686" s="10"/>
      <c r="O686" s="10"/>
      <c r="P686" s="10"/>
      <c r="Q686" s="11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L687" s="10"/>
      <c r="M687" s="10"/>
      <c r="N687" s="10"/>
      <c r="O687" s="10"/>
      <c r="P687" s="10"/>
      <c r="Q687" s="11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L688" s="10"/>
      <c r="M688" s="10"/>
      <c r="N688" s="10"/>
      <c r="O688" s="10"/>
      <c r="P688" s="10"/>
      <c r="Q688" s="11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L689" s="10"/>
      <c r="M689" s="10"/>
      <c r="N689" s="10"/>
      <c r="O689" s="10"/>
      <c r="P689" s="10"/>
      <c r="Q689" s="11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L690" s="10"/>
      <c r="M690" s="10"/>
      <c r="N690" s="10"/>
      <c r="O690" s="10"/>
      <c r="P690" s="10"/>
      <c r="Q690" s="11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L691" s="10"/>
      <c r="M691" s="10"/>
      <c r="N691" s="10"/>
      <c r="O691" s="10"/>
      <c r="P691" s="10"/>
      <c r="Q691" s="11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L692" s="10"/>
      <c r="M692" s="10"/>
      <c r="N692" s="10"/>
      <c r="O692" s="10"/>
      <c r="P692" s="10"/>
      <c r="Q692" s="11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L693" s="10"/>
      <c r="M693" s="10"/>
      <c r="N693" s="10"/>
      <c r="O693" s="10"/>
      <c r="P693" s="10"/>
      <c r="Q693" s="11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L694" s="10"/>
      <c r="M694" s="10"/>
      <c r="N694" s="10"/>
      <c r="O694" s="10"/>
      <c r="P694" s="10"/>
      <c r="Q694" s="11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L695" s="10"/>
      <c r="M695" s="10"/>
      <c r="N695" s="10"/>
      <c r="O695" s="10"/>
      <c r="P695" s="10"/>
      <c r="Q695" s="11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L696" s="10"/>
      <c r="M696" s="10"/>
      <c r="N696" s="10"/>
      <c r="O696" s="10"/>
      <c r="P696" s="10"/>
      <c r="Q696" s="11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L697" s="10"/>
      <c r="M697" s="10"/>
      <c r="N697" s="10"/>
      <c r="O697" s="10"/>
      <c r="P697" s="10"/>
      <c r="Q697" s="11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L698" s="10"/>
      <c r="M698" s="10"/>
      <c r="N698" s="10"/>
      <c r="O698" s="10"/>
      <c r="P698" s="10"/>
      <c r="Q698" s="11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L699" s="10"/>
      <c r="M699" s="10"/>
      <c r="N699" s="10"/>
      <c r="O699" s="10"/>
      <c r="P699" s="10"/>
      <c r="Q699" s="11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L700" s="10"/>
      <c r="M700" s="10"/>
      <c r="N700" s="10"/>
      <c r="O700" s="10"/>
      <c r="P700" s="10"/>
      <c r="Q700" s="11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L701" s="10"/>
      <c r="M701" s="10"/>
      <c r="N701" s="10"/>
      <c r="O701" s="10"/>
      <c r="P701" s="10"/>
      <c r="Q701" s="11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L702" s="10"/>
      <c r="M702" s="10"/>
      <c r="N702" s="10"/>
      <c r="O702" s="10"/>
      <c r="P702" s="10"/>
      <c r="Q702" s="11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L703" s="10"/>
      <c r="M703" s="10"/>
      <c r="N703" s="10"/>
      <c r="O703" s="10"/>
      <c r="P703" s="10"/>
      <c r="Q703" s="11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L704" s="10"/>
      <c r="M704" s="10"/>
      <c r="N704" s="10"/>
      <c r="O704" s="10"/>
      <c r="P704" s="10"/>
      <c r="Q704" s="11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L705" s="10"/>
      <c r="M705" s="10"/>
      <c r="N705" s="10"/>
      <c r="O705" s="10"/>
      <c r="P705" s="10"/>
      <c r="Q705" s="11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L706" s="10"/>
      <c r="M706" s="10"/>
      <c r="N706" s="10"/>
      <c r="O706" s="10"/>
      <c r="P706" s="10"/>
      <c r="Q706" s="11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L707" s="10"/>
      <c r="M707" s="10"/>
      <c r="N707" s="10"/>
      <c r="O707" s="10"/>
      <c r="P707" s="10"/>
      <c r="Q707" s="11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L708" s="10"/>
      <c r="M708" s="10"/>
      <c r="N708" s="10"/>
      <c r="O708" s="10"/>
      <c r="P708" s="10"/>
      <c r="Q708" s="11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L709" s="10"/>
      <c r="M709" s="10"/>
      <c r="N709" s="10"/>
      <c r="O709" s="10"/>
      <c r="P709" s="10"/>
      <c r="Q709" s="11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L710" s="10"/>
      <c r="M710" s="10"/>
      <c r="N710" s="10"/>
      <c r="O710" s="10"/>
      <c r="P710" s="10"/>
      <c r="Q710" s="11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L711" s="10"/>
      <c r="M711" s="10"/>
      <c r="N711" s="10"/>
      <c r="O711" s="10"/>
      <c r="P711" s="10"/>
      <c r="Q711" s="11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L712" s="10"/>
      <c r="M712" s="10"/>
      <c r="N712" s="10"/>
      <c r="O712" s="10"/>
      <c r="P712" s="10"/>
      <c r="Q712" s="11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L713" s="10"/>
      <c r="M713" s="10"/>
      <c r="N713" s="10"/>
      <c r="O713" s="10"/>
      <c r="P713" s="10"/>
      <c r="Q713" s="11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L714" s="10"/>
      <c r="M714" s="10"/>
      <c r="N714" s="10"/>
      <c r="O714" s="10"/>
      <c r="P714" s="10"/>
      <c r="Q714" s="11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L715" s="10"/>
      <c r="M715" s="10"/>
      <c r="N715" s="10"/>
      <c r="O715" s="10"/>
      <c r="P715" s="10"/>
      <c r="Q715" s="11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L716" s="10"/>
      <c r="M716" s="10"/>
      <c r="N716" s="10"/>
      <c r="O716" s="10"/>
      <c r="P716" s="10"/>
      <c r="Q716" s="11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L717" s="10"/>
      <c r="M717" s="10"/>
      <c r="N717" s="10"/>
      <c r="O717" s="10"/>
      <c r="P717" s="10"/>
      <c r="Q717" s="11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L718" s="10"/>
      <c r="M718" s="10"/>
      <c r="N718" s="10"/>
      <c r="O718" s="10"/>
      <c r="P718" s="10"/>
      <c r="Q718" s="11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L719" s="10"/>
      <c r="M719" s="10"/>
      <c r="N719" s="10"/>
      <c r="O719" s="10"/>
      <c r="P719" s="10"/>
      <c r="Q719" s="11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L720" s="10"/>
      <c r="M720" s="10"/>
      <c r="N720" s="10"/>
      <c r="O720" s="10"/>
      <c r="P720" s="10"/>
      <c r="Q720" s="11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L721" s="10"/>
      <c r="M721" s="10"/>
      <c r="N721" s="10"/>
      <c r="O721" s="10"/>
      <c r="P721" s="10"/>
      <c r="Q721" s="11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L722" s="10"/>
      <c r="M722" s="10"/>
      <c r="N722" s="10"/>
      <c r="O722" s="10"/>
      <c r="P722" s="10"/>
      <c r="Q722" s="11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L723" s="10"/>
      <c r="M723" s="10"/>
      <c r="N723" s="10"/>
      <c r="O723" s="10"/>
      <c r="P723" s="10"/>
      <c r="Q723" s="11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L724" s="10"/>
      <c r="M724" s="10"/>
      <c r="N724" s="10"/>
      <c r="O724" s="10"/>
      <c r="P724" s="10"/>
      <c r="Q724" s="11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L725" s="10"/>
      <c r="M725" s="10"/>
      <c r="N725" s="10"/>
      <c r="O725" s="10"/>
      <c r="P725" s="10"/>
      <c r="Q725" s="11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L726" s="10"/>
      <c r="M726" s="10"/>
      <c r="N726" s="10"/>
      <c r="O726" s="10"/>
      <c r="P726" s="10"/>
      <c r="Q726" s="11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L727" s="10"/>
      <c r="M727" s="10"/>
      <c r="N727" s="10"/>
      <c r="O727" s="10"/>
      <c r="P727" s="10"/>
      <c r="Q727" s="11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L728" s="10"/>
      <c r="M728" s="10"/>
      <c r="N728" s="10"/>
      <c r="O728" s="10"/>
      <c r="P728" s="10"/>
      <c r="Q728" s="11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L729" s="10"/>
      <c r="M729" s="10"/>
      <c r="N729" s="10"/>
      <c r="O729" s="10"/>
      <c r="P729" s="10"/>
      <c r="Q729" s="11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L730" s="10"/>
      <c r="M730" s="10"/>
      <c r="N730" s="10"/>
      <c r="O730" s="10"/>
      <c r="P730" s="10"/>
      <c r="Q730" s="11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L731" s="10"/>
      <c r="M731" s="10"/>
      <c r="N731" s="10"/>
      <c r="O731" s="10"/>
      <c r="P731" s="10"/>
      <c r="Q731" s="11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L732" s="10"/>
      <c r="M732" s="10"/>
      <c r="N732" s="10"/>
      <c r="O732" s="10"/>
      <c r="P732" s="10"/>
      <c r="Q732" s="11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L733" s="10"/>
      <c r="M733" s="10"/>
      <c r="N733" s="10"/>
      <c r="O733" s="10"/>
      <c r="P733" s="10"/>
      <c r="Q733" s="11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L734" s="10"/>
      <c r="M734" s="10"/>
      <c r="N734" s="10"/>
      <c r="O734" s="10"/>
      <c r="P734" s="10"/>
      <c r="Q734" s="11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L735" s="10"/>
      <c r="M735" s="10"/>
      <c r="N735" s="10"/>
      <c r="O735" s="10"/>
      <c r="P735" s="10"/>
      <c r="Q735" s="11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L736" s="10"/>
      <c r="M736" s="10"/>
      <c r="N736" s="10"/>
      <c r="O736" s="10"/>
      <c r="P736" s="10"/>
      <c r="Q736" s="11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L737" s="10"/>
      <c r="M737" s="10"/>
      <c r="N737" s="10"/>
      <c r="O737" s="10"/>
      <c r="P737" s="10"/>
      <c r="Q737" s="11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L738" s="10"/>
      <c r="M738" s="10"/>
      <c r="N738" s="10"/>
      <c r="O738" s="10"/>
      <c r="P738" s="10"/>
      <c r="Q738" s="11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L739" s="10"/>
      <c r="M739" s="10"/>
      <c r="N739" s="10"/>
      <c r="O739" s="10"/>
      <c r="P739" s="10"/>
      <c r="Q739" s="11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L740" s="10"/>
      <c r="M740" s="10"/>
      <c r="N740" s="10"/>
      <c r="O740" s="10"/>
      <c r="P740" s="10"/>
      <c r="Q740" s="11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L741" s="10"/>
      <c r="M741" s="10"/>
      <c r="N741" s="10"/>
      <c r="O741" s="10"/>
      <c r="P741" s="10"/>
      <c r="Q741" s="11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L742" s="10"/>
      <c r="M742" s="10"/>
      <c r="N742" s="10"/>
      <c r="O742" s="10"/>
      <c r="P742" s="10"/>
      <c r="Q742" s="11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L743" s="10"/>
      <c r="M743" s="10"/>
      <c r="N743" s="10"/>
      <c r="O743" s="10"/>
      <c r="P743" s="10"/>
      <c r="Q743" s="11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L744" s="10"/>
      <c r="M744" s="10"/>
      <c r="N744" s="10"/>
      <c r="O744" s="10"/>
      <c r="P744" s="10"/>
      <c r="Q744" s="11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L745" s="10"/>
      <c r="M745" s="10"/>
      <c r="N745" s="10"/>
      <c r="O745" s="10"/>
      <c r="P745" s="10"/>
      <c r="Q745" s="11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L746" s="10"/>
      <c r="M746" s="10"/>
      <c r="N746" s="10"/>
      <c r="O746" s="10"/>
      <c r="P746" s="10"/>
      <c r="Q746" s="11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L747" s="10"/>
      <c r="M747" s="10"/>
      <c r="N747" s="10"/>
      <c r="O747" s="10"/>
      <c r="P747" s="10"/>
      <c r="Q747" s="11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L748" s="10"/>
      <c r="M748" s="10"/>
      <c r="N748" s="10"/>
      <c r="O748" s="10"/>
      <c r="P748" s="10"/>
      <c r="Q748" s="11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L749" s="10"/>
      <c r="M749" s="10"/>
      <c r="N749" s="10"/>
      <c r="O749" s="10"/>
      <c r="P749" s="10"/>
      <c r="Q749" s="11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L750" s="10"/>
      <c r="M750" s="10"/>
      <c r="N750" s="10"/>
      <c r="O750" s="10"/>
      <c r="P750" s="10"/>
      <c r="Q750" s="11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L751" s="10"/>
      <c r="M751" s="10"/>
      <c r="N751" s="10"/>
      <c r="O751" s="10"/>
      <c r="P751" s="10"/>
      <c r="Q751" s="11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L752" s="10"/>
      <c r="M752" s="10"/>
      <c r="N752" s="10"/>
      <c r="O752" s="10"/>
      <c r="P752" s="10"/>
      <c r="Q752" s="11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L753" s="10"/>
      <c r="M753" s="10"/>
      <c r="N753" s="10"/>
      <c r="O753" s="10"/>
      <c r="P753" s="10"/>
      <c r="Q753" s="11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L754" s="10"/>
      <c r="M754" s="10"/>
      <c r="N754" s="10"/>
      <c r="O754" s="10"/>
      <c r="P754" s="10"/>
      <c r="Q754" s="11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L755" s="10"/>
      <c r="M755" s="10"/>
      <c r="N755" s="10"/>
      <c r="O755" s="10"/>
      <c r="P755" s="10"/>
      <c r="Q755" s="11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L756" s="10"/>
      <c r="M756" s="10"/>
      <c r="N756" s="10"/>
      <c r="O756" s="10"/>
      <c r="P756" s="10"/>
      <c r="Q756" s="11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L757" s="10"/>
      <c r="M757" s="10"/>
      <c r="N757" s="10"/>
      <c r="O757" s="10"/>
      <c r="P757" s="10"/>
      <c r="Q757" s="11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L758" s="10"/>
      <c r="M758" s="10"/>
      <c r="N758" s="10"/>
      <c r="O758" s="10"/>
      <c r="P758" s="10"/>
      <c r="Q758" s="11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L759" s="10"/>
      <c r="M759" s="10"/>
      <c r="N759" s="10"/>
      <c r="O759" s="10"/>
      <c r="P759" s="10"/>
      <c r="Q759" s="11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L760" s="10"/>
      <c r="M760" s="10"/>
      <c r="N760" s="10"/>
      <c r="O760" s="10"/>
      <c r="P760" s="10"/>
      <c r="Q760" s="11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L761" s="10"/>
      <c r="M761" s="10"/>
      <c r="N761" s="10"/>
      <c r="O761" s="10"/>
      <c r="P761" s="10"/>
      <c r="Q761" s="11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L762" s="10"/>
      <c r="M762" s="10"/>
      <c r="N762" s="10"/>
      <c r="O762" s="10"/>
      <c r="P762" s="10"/>
      <c r="Q762" s="11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L763" s="10"/>
      <c r="M763" s="10"/>
      <c r="N763" s="10"/>
      <c r="O763" s="10"/>
      <c r="P763" s="10"/>
      <c r="Q763" s="11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L764" s="10"/>
      <c r="M764" s="10"/>
      <c r="N764" s="10"/>
      <c r="O764" s="10"/>
      <c r="P764" s="10"/>
      <c r="Q764" s="11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L765" s="10"/>
      <c r="M765" s="10"/>
      <c r="N765" s="10"/>
      <c r="O765" s="10"/>
      <c r="P765" s="10"/>
      <c r="Q765" s="11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L766" s="10"/>
      <c r="M766" s="10"/>
      <c r="N766" s="10"/>
      <c r="O766" s="10"/>
      <c r="P766" s="10"/>
      <c r="Q766" s="11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L767" s="10"/>
      <c r="M767" s="10"/>
      <c r="N767" s="10"/>
      <c r="O767" s="10"/>
      <c r="P767" s="10"/>
      <c r="Q767" s="11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L768" s="10"/>
      <c r="M768" s="10"/>
      <c r="N768" s="10"/>
      <c r="O768" s="10"/>
      <c r="P768" s="10"/>
      <c r="Q768" s="11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L769" s="10"/>
      <c r="M769" s="10"/>
      <c r="N769" s="10"/>
      <c r="O769" s="10"/>
      <c r="P769" s="10"/>
      <c r="Q769" s="11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L770" s="10"/>
      <c r="M770" s="10"/>
      <c r="N770" s="10"/>
      <c r="O770" s="10"/>
      <c r="P770" s="10"/>
      <c r="Q770" s="11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L771" s="10"/>
      <c r="M771" s="10"/>
      <c r="N771" s="10"/>
      <c r="O771" s="10"/>
      <c r="P771" s="10"/>
      <c r="Q771" s="11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L772" s="10"/>
      <c r="M772" s="10"/>
      <c r="N772" s="10"/>
      <c r="O772" s="10"/>
      <c r="P772" s="10"/>
      <c r="Q772" s="11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L773" s="10"/>
      <c r="M773" s="10"/>
      <c r="N773" s="10"/>
      <c r="O773" s="10"/>
      <c r="P773" s="10"/>
      <c r="Q773" s="11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L774" s="10"/>
      <c r="M774" s="10"/>
      <c r="N774" s="10"/>
      <c r="O774" s="10"/>
      <c r="P774" s="10"/>
      <c r="Q774" s="11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L775" s="10"/>
      <c r="M775" s="10"/>
      <c r="N775" s="10"/>
      <c r="O775" s="10"/>
      <c r="P775" s="10"/>
      <c r="Q775" s="11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L776" s="10"/>
      <c r="M776" s="10"/>
      <c r="N776" s="10"/>
      <c r="O776" s="10"/>
      <c r="P776" s="10"/>
      <c r="Q776" s="11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L777" s="10"/>
      <c r="M777" s="10"/>
      <c r="N777" s="10"/>
      <c r="O777" s="10"/>
      <c r="P777" s="10"/>
      <c r="Q777" s="11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L778" s="10"/>
      <c r="M778" s="10"/>
      <c r="N778" s="10"/>
      <c r="O778" s="10"/>
      <c r="P778" s="10"/>
      <c r="Q778" s="11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L779" s="10"/>
      <c r="M779" s="10"/>
      <c r="N779" s="10"/>
      <c r="O779" s="10"/>
      <c r="P779" s="10"/>
      <c r="Q779" s="11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L780" s="10"/>
      <c r="M780" s="10"/>
      <c r="N780" s="10"/>
      <c r="O780" s="10"/>
      <c r="P780" s="10"/>
      <c r="Q780" s="11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L781" s="10"/>
      <c r="M781" s="10"/>
      <c r="N781" s="10"/>
      <c r="O781" s="10"/>
      <c r="P781" s="10"/>
      <c r="Q781" s="11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L782" s="10"/>
      <c r="M782" s="10"/>
      <c r="N782" s="10"/>
      <c r="O782" s="10"/>
      <c r="P782" s="10"/>
      <c r="Q782" s="11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L783" s="10"/>
      <c r="M783" s="10"/>
      <c r="N783" s="10"/>
      <c r="O783" s="10"/>
      <c r="P783" s="10"/>
      <c r="Q783" s="11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L784" s="10"/>
      <c r="M784" s="10"/>
      <c r="N784" s="10"/>
      <c r="O784" s="10"/>
      <c r="P784" s="10"/>
      <c r="Q784" s="11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L785" s="10"/>
      <c r="M785" s="10"/>
      <c r="N785" s="10"/>
      <c r="O785" s="10"/>
      <c r="P785" s="10"/>
      <c r="Q785" s="11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L786" s="10"/>
      <c r="M786" s="10"/>
      <c r="N786" s="10"/>
      <c r="O786" s="10"/>
      <c r="P786" s="10"/>
      <c r="Q786" s="11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L787" s="10"/>
      <c r="M787" s="10"/>
      <c r="N787" s="10"/>
      <c r="O787" s="10"/>
      <c r="P787" s="10"/>
      <c r="Q787" s="11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L788" s="10"/>
      <c r="M788" s="10"/>
      <c r="N788" s="10"/>
      <c r="O788" s="10"/>
      <c r="P788" s="10"/>
      <c r="Q788" s="11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L789" s="10"/>
      <c r="M789" s="10"/>
      <c r="N789" s="10"/>
      <c r="O789" s="10"/>
      <c r="P789" s="10"/>
      <c r="Q789" s="11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L790" s="10"/>
      <c r="M790" s="10"/>
      <c r="N790" s="10"/>
      <c r="O790" s="10"/>
      <c r="P790" s="10"/>
      <c r="Q790" s="11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L791" s="10"/>
      <c r="M791" s="10"/>
      <c r="N791" s="10"/>
      <c r="O791" s="10"/>
      <c r="P791" s="10"/>
      <c r="Q791" s="11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L792" s="10"/>
      <c r="M792" s="10"/>
      <c r="N792" s="10"/>
      <c r="O792" s="10"/>
      <c r="P792" s="10"/>
      <c r="Q792" s="11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L793" s="10"/>
      <c r="M793" s="10"/>
      <c r="N793" s="10"/>
      <c r="O793" s="10"/>
      <c r="P793" s="10"/>
      <c r="Q793" s="11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L794" s="10"/>
      <c r="M794" s="10"/>
      <c r="N794" s="10"/>
      <c r="O794" s="10"/>
      <c r="P794" s="10"/>
      <c r="Q794" s="11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L795" s="10"/>
      <c r="M795" s="10"/>
      <c r="N795" s="10"/>
      <c r="O795" s="10"/>
      <c r="P795" s="10"/>
      <c r="Q795" s="11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L796" s="10"/>
      <c r="M796" s="10"/>
      <c r="N796" s="10"/>
      <c r="O796" s="10"/>
      <c r="P796" s="10"/>
      <c r="Q796" s="11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L797" s="10"/>
      <c r="M797" s="10"/>
      <c r="N797" s="10"/>
      <c r="O797" s="10"/>
      <c r="P797" s="10"/>
      <c r="Q797" s="11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L798" s="10"/>
      <c r="M798" s="10"/>
      <c r="N798" s="10"/>
      <c r="O798" s="10"/>
      <c r="P798" s="10"/>
      <c r="Q798" s="11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L799" s="10"/>
      <c r="M799" s="10"/>
      <c r="N799" s="10"/>
      <c r="O799" s="10"/>
      <c r="P799" s="10"/>
      <c r="Q799" s="11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L800" s="10"/>
      <c r="M800" s="10"/>
      <c r="N800" s="10"/>
      <c r="O800" s="10"/>
      <c r="P800" s="10"/>
      <c r="Q800" s="11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L801" s="10"/>
      <c r="M801" s="10"/>
      <c r="N801" s="10"/>
      <c r="O801" s="10"/>
      <c r="P801" s="10"/>
      <c r="Q801" s="11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L802" s="10"/>
      <c r="M802" s="10"/>
      <c r="N802" s="10"/>
      <c r="O802" s="10"/>
      <c r="P802" s="10"/>
      <c r="Q802" s="11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L803" s="10"/>
      <c r="M803" s="10"/>
      <c r="N803" s="10"/>
      <c r="O803" s="10"/>
      <c r="P803" s="10"/>
      <c r="Q803" s="11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L804" s="10"/>
      <c r="M804" s="10"/>
      <c r="N804" s="10"/>
      <c r="O804" s="10"/>
      <c r="P804" s="10"/>
      <c r="Q804" s="11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L805" s="10"/>
      <c r="M805" s="10"/>
      <c r="N805" s="10"/>
      <c r="O805" s="10"/>
      <c r="P805" s="10"/>
      <c r="Q805" s="11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L806" s="10"/>
      <c r="M806" s="10"/>
      <c r="N806" s="10"/>
      <c r="O806" s="10"/>
      <c r="P806" s="10"/>
      <c r="Q806" s="11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L807" s="10"/>
      <c r="M807" s="10"/>
      <c r="N807" s="10"/>
      <c r="O807" s="10"/>
      <c r="P807" s="10"/>
      <c r="Q807" s="11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L808" s="10"/>
      <c r="M808" s="10"/>
      <c r="N808" s="10"/>
      <c r="O808" s="10"/>
      <c r="P808" s="10"/>
      <c r="Q808" s="11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L809" s="10"/>
      <c r="M809" s="10"/>
      <c r="N809" s="10"/>
      <c r="O809" s="10"/>
      <c r="P809" s="10"/>
      <c r="Q809" s="11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L810" s="10"/>
      <c r="M810" s="10"/>
      <c r="N810" s="10"/>
      <c r="O810" s="10"/>
      <c r="P810" s="10"/>
      <c r="Q810" s="11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L811" s="10"/>
      <c r="M811" s="10"/>
      <c r="N811" s="10"/>
      <c r="O811" s="10"/>
      <c r="P811" s="10"/>
      <c r="Q811" s="11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L812" s="10"/>
      <c r="M812" s="10"/>
      <c r="N812" s="10"/>
      <c r="O812" s="10"/>
      <c r="P812" s="10"/>
      <c r="Q812" s="11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L813" s="10"/>
      <c r="M813" s="10"/>
      <c r="N813" s="10"/>
      <c r="O813" s="10"/>
      <c r="P813" s="10"/>
      <c r="Q813" s="11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L814" s="10"/>
      <c r="M814" s="10"/>
      <c r="N814" s="10"/>
      <c r="O814" s="10"/>
      <c r="P814" s="10"/>
      <c r="Q814" s="11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L815" s="10"/>
      <c r="M815" s="10"/>
      <c r="N815" s="10"/>
      <c r="O815" s="10"/>
      <c r="P815" s="10"/>
      <c r="Q815" s="11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L816" s="10"/>
      <c r="M816" s="10"/>
      <c r="N816" s="10"/>
      <c r="O816" s="10"/>
      <c r="P816" s="10"/>
      <c r="Q816" s="11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L817" s="10"/>
      <c r="M817" s="10"/>
      <c r="N817" s="10"/>
      <c r="O817" s="10"/>
      <c r="P817" s="10"/>
      <c r="Q817" s="11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L818" s="10"/>
      <c r="M818" s="10"/>
      <c r="N818" s="10"/>
      <c r="O818" s="10"/>
      <c r="P818" s="10"/>
      <c r="Q818" s="11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L819" s="10"/>
      <c r="M819" s="10"/>
      <c r="N819" s="10"/>
      <c r="O819" s="10"/>
      <c r="P819" s="10"/>
      <c r="Q819" s="11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L820" s="10"/>
      <c r="M820" s="10"/>
      <c r="N820" s="10"/>
      <c r="O820" s="10"/>
      <c r="P820" s="10"/>
      <c r="Q820" s="11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L821" s="10"/>
      <c r="M821" s="10"/>
      <c r="N821" s="10"/>
      <c r="O821" s="10"/>
      <c r="P821" s="10"/>
      <c r="Q821" s="11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L822" s="10"/>
      <c r="M822" s="10"/>
      <c r="N822" s="10"/>
      <c r="O822" s="10"/>
      <c r="P822" s="10"/>
      <c r="Q822" s="11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L823" s="10"/>
      <c r="M823" s="10"/>
      <c r="N823" s="10"/>
      <c r="O823" s="10"/>
      <c r="P823" s="10"/>
      <c r="Q823" s="11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L824" s="10"/>
      <c r="M824" s="10"/>
      <c r="N824" s="10"/>
      <c r="O824" s="10"/>
      <c r="P824" s="10"/>
      <c r="Q824" s="11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L825" s="10"/>
      <c r="M825" s="10"/>
      <c r="N825" s="10"/>
      <c r="O825" s="10"/>
      <c r="P825" s="10"/>
      <c r="Q825" s="11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L826" s="10"/>
      <c r="M826" s="10"/>
      <c r="N826" s="10"/>
      <c r="O826" s="10"/>
      <c r="P826" s="10"/>
      <c r="Q826" s="11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L827" s="10"/>
      <c r="M827" s="10"/>
      <c r="N827" s="10"/>
      <c r="O827" s="10"/>
      <c r="P827" s="10"/>
      <c r="Q827" s="11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L828" s="10"/>
      <c r="M828" s="10"/>
      <c r="N828" s="10"/>
      <c r="O828" s="10"/>
      <c r="P828" s="10"/>
      <c r="Q828" s="11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L829" s="10"/>
      <c r="M829" s="10"/>
      <c r="N829" s="10"/>
      <c r="O829" s="10"/>
      <c r="P829" s="10"/>
      <c r="Q829" s="11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L830" s="10"/>
      <c r="M830" s="10"/>
      <c r="N830" s="10"/>
      <c r="O830" s="10"/>
      <c r="P830" s="10"/>
      <c r="Q830" s="11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L831" s="10"/>
      <c r="M831" s="10"/>
      <c r="N831" s="10"/>
      <c r="O831" s="10"/>
      <c r="P831" s="10"/>
      <c r="Q831" s="11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L832" s="10"/>
      <c r="M832" s="10"/>
      <c r="N832" s="10"/>
      <c r="O832" s="10"/>
      <c r="P832" s="10"/>
      <c r="Q832" s="11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L833" s="10"/>
      <c r="M833" s="10"/>
      <c r="N833" s="10"/>
      <c r="O833" s="10"/>
      <c r="P833" s="10"/>
      <c r="Q833" s="11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L834" s="10"/>
      <c r="M834" s="10"/>
      <c r="N834" s="10"/>
      <c r="O834" s="10"/>
      <c r="P834" s="10"/>
      <c r="Q834" s="11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L835" s="10"/>
      <c r="M835" s="10"/>
      <c r="N835" s="10"/>
      <c r="O835" s="10"/>
      <c r="P835" s="10"/>
      <c r="Q835" s="11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L836" s="10"/>
      <c r="M836" s="10"/>
      <c r="N836" s="10"/>
      <c r="O836" s="10"/>
      <c r="P836" s="10"/>
      <c r="Q836" s="11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L837" s="10"/>
      <c r="M837" s="10"/>
      <c r="N837" s="10"/>
      <c r="O837" s="10"/>
      <c r="P837" s="10"/>
      <c r="Q837" s="11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L838" s="10"/>
      <c r="M838" s="10"/>
      <c r="N838" s="10"/>
      <c r="O838" s="10"/>
      <c r="P838" s="10"/>
      <c r="Q838" s="11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L839" s="10"/>
      <c r="M839" s="10"/>
      <c r="N839" s="10"/>
      <c r="O839" s="10"/>
      <c r="P839" s="10"/>
      <c r="Q839" s="11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L840" s="10"/>
      <c r="M840" s="10"/>
      <c r="N840" s="10"/>
      <c r="O840" s="10"/>
      <c r="P840" s="10"/>
      <c r="Q840" s="11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L841" s="10"/>
      <c r="M841" s="10"/>
      <c r="N841" s="10"/>
      <c r="O841" s="10"/>
      <c r="P841" s="10"/>
      <c r="Q841" s="11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L842" s="10"/>
      <c r="M842" s="10"/>
      <c r="N842" s="10"/>
      <c r="O842" s="10"/>
      <c r="P842" s="10"/>
      <c r="Q842" s="11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L843" s="10"/>
      <c r="M843" s="10"/>
      <c r="N843" s="10"/>
      <c r="O843" s="10"/>
      <c r="P843" s="10"/>
      <c r="Q843" s="11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L844" s="10"/>
      <c r="M844" s="10"/>
      <c r="N844" s="10"/>
      <c r="O844" s="10"/>
      <c r="P844" s="10"/>
      <c r="Q844" s="11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L845" s="10"/>
      <c r="M845" s="10"/>
      <c r="N845" s="10"/>
      <c r="O845" s="10"/>
      <c r="P845" s="10"/>
      <c r="Q845" s="11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L846" s="10"/>
      <c r="M846" s="10"/>
      <c r="N846" s="10"/>
      <c r="O846" s="10"/>
      <c r="P846" s="10"/>
      <c r="Q846" s="11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L847" s="10"/>
      <c r="M847" s="10"/>
      <c r="N847" s="10"/>
      <c r="O847" s="10"/>
      <c r="P847" s="10"/>
      <c r="Q847" s="11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L848" s="10"/>
      <c r="M848" s="10"/>
      <c r="N848" s="10"/>
      <c r="O848" s="10"/>
      <c r="P848" s="10"/>
      <c r="Q848" s="11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L849" s="10"/>
      <c r="M849" s="10"/>
      <c r="N849" s="10"/>
      <c r="O849" s="10"/>
      <c r="P849" s="10"/>
      <c r="Q849" s="11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L850" s="10"/>
      <c r="M850" s="10"/>
      <c r="N850" s="10"/>
      <c r="O850" s="10"/>
      <c r="P850" s="10"/>
      <c r="Q850" s="11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L851" s="10"/>
      <c r="M851" s="10"/>
      <c r="N851" s="10"/>
      <c r="O851" s="10"/>
      <c r="P851" s="10"/>
      <c r="Q851" s="11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L852" s="10"/>
      <c r="M852" s="10"/>
      <c r="N852" s="10"/>
      <c r="O852" s="10"/>
      <c r="P852" s="10"/>
      <c r="Q852" s="11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L853" s="10"/>
      <c r="M853" s="10"/>
      <c r="N853" s="10"/>
      <c r="O853" s="10"/>
      <c r="P853" s="10"/>
      <c r="Q853" s="11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L854" s="10"/>
      <c r="M854" s="10"/>
      <c r="N854" s="10"/>
      <c r="O854" s="10"/>
      <c r="P854" s="10"/>
      <c r="Q854" s="11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L855" s="10"/>
      <c r="M855" s="10"/>
      <c r="N855" s="10"/>
      <c r="O855" s="10"/>
      <c r="P855" s="10"/>
      <c r="Q855" s="11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L856" s="10"/>
      <c r="M856" s="10"/>
      <c r="N856" s="10"/>
      <c r="O856" s="10"/>
      <c r="P856" s="10"/>
      <c r="Q856" s="11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L857" s="10"/>
      <c r="M857" s="10"/>
      <c r="N857" s="10"/>
      <c r="O857" s="10"/>
      <c r="P857" s="10"/>
      <c r="Q857" s="11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L858" s="10"/>
      <c r="M858" s="10"/>
      <c r="N858" s="10"/>
      <c r="O858" s="10"/>
      <c r="P858" s="10"/>
      <c r="Q858" s="11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L859" s="10"/>
      <c r="M859" s="10"/>
      <c r="N859" s="10"/>
      <c r="O859" s="10"/>
      <c r="P859" s="10"/>
      <c r="Q859" s="11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L860" s="10"/>
      <c r="M860" s="10"/>
      <c r="N860" s="10"/>
      <c r="O860" s="10"/>
      <c r="P860" s="10"/>
      <c r="Q860" s="11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L861" s="10"/>
      <c r="M861" s="10"/>
      <c r="N861" s="10"/>
      <c r="O861" s="10"/>
      <c r="P861" s="10"/>
      <c r="Q861" s="11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L862" s="10"/>
      <c r="M862" s="10"/>
      <c r="N862" s="10"/>
      <c r="O862" s="10"/>
      <c r="P862" s="10"/>
      <c r="Q862" s="11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L863" s="10"/>
      <c r="M863" s="10"/>
      <c r="N863" s="10"/>
      <c r="O863" s="10"/>
      <c r="P863" s="10"/>
      <c r="Q863" s="11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L864" s="10"/>
      <c r="M864" s="10"/>
      <c r="N864" s="10"/>
      <c r="O864" s="10"/>
      <c r="P864" s="10"/>
      <c r="Q864" s="11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L865" s="10"/>
      <c r="M865" s="10"/>
      <c r="N865" s="10"/>
      <c r="O865" s="10"/>
      <c r="P865" s="10"/>
      <c r="Q865" s="11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L866" s="10"/>
      <c r="M866" s="10"/>
      <c r="N866" s="10"/>
      <c r="O866" s="10"/>
      <c r="P866" s="10"/>
      <c r="Q866" s="11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L867" s="10"/>
      <c r="M867" s="10"/>
      <c r="N867" s="10"/>
      <c r="O867" s="10"/>
      <c r="P867" s="10"/>
      <c r="Q867" s="11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L868" s="10"/>
      <c r="M868" s="10"/>
      <c r="N868" s="10"/>
      <c r="O868" s="10"/>
      <c r="P868" s="10"/>
      <c r="Q868" s="11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L869" s="10"/>
      <c r="M869" s="10"/>
      <c r="N869" s="10"/>
      <c r="O869" s="10"/>
      <c r="P869" s="10"/>
      <c r="Q869" s="11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L870" s="10"/>
      <c r="M870" s="10"/>
      <c r="N870" s="10"/>
      <c r="O870" s="10"/>
      <c r="P870" s="10"/>
      <c r="Q870" s="11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L871" s="10"/>
      <c r="M871" s="10"/>
      <c r="N871" s="10"/>
      <c r="O871" s="10"/>
      <c r="P871" s="10"/>
      <c r="Q871" s="11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L872" s="10"/>
      <c r="M872" s="10"/>
      <c r="N872" s="10"/>
      <c r="O872" s="10"/>
      <c r="P872" s="10"/>
      <c r="Q872" s="11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L873" s="10"/>
      <c r="M873" s="10"/>
      <c r="N873" s="10"/>
      <c r="O873" s="10"/>
      <c r="P873" s="10"/>
      <c r="Q873" s="11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L874" s="10"/>
      <c r="M874" s="10"/>
      <c r="N874" s="10"/>
      <c r="O874" s="10"/>
      <c r="P874" s="10"/>
      <c r="Q874" s="11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L875" s="10"/>
      <c r="M875" s="10"/>
      <c r="N875" s="10"/>
      <c r="O875" s="10"/>
      <c r="P875" s="10"/>
      <c r="Q875" s="11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L876" s="10"/>
      <c r="M876" s="10"/>
      <c r="N876" s="10"/>
      <c r="O876" s="10"/>
      <c r="P876" s="10"/>
      <c r="Q876" s="11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L877" s="10"/>
      <c r="M877" s="10"/>
      <c r="N877" s="10"/>
      <c r="O877" s="10"/>
      <c r="P877" s="10"/>
      <c r="Q877" s="11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L878" s="10"/>
      <c r="M878" s="10"/>
      <c r="N878" s="10"/>
      <c r="O878" s="10"/>
      <c r="P878" s="10"/>
      <c r="Q878" s="11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L879" s="10"/>
      <c r="M879" s="10"/>
      <c r="N879" s="10"/>
      <c r="O879" s="10"/>
      <c r="P879" s="10"/>
      <c r="Q879" s="11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L880" s="10"/>
      <c r="M880" s="10"/>
      <c r="N880" s="10"/>
      <c r="O880" s="10"/>
      <c r="P880" s="10"/>
      <c r="Q880" s="11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L881" s="10"/>
      <c r="M881" s="10"/>
      <c r="N881" s="10"/>
      <c r="O881" s="10"/>
      <c r="P881" s="10"/>
      <c r="Q881" s="11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L882" s="10"/>
      <c r="M882" s="10"/>
      <c r="N882" s="10"/>
      <c r="O882" s="10"/>
      <c r="P882" s="10"/>
      <c r="Q882" s="11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L883" s="10"/>
      <c r="M883" s="10"/>
      <c r="N883" s="10"/>
      <c r="O883" s="10"/>
      <c r="P883" s="10"/>
      <c r="Q883" s="11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L884" s="10"/>
      <c r="M884" s="10"/>
      <c r="N884" s="10"/>
      <c r="O884" s="10"/>
      <c r="P884" s="10"/>
      <c r="Q884" s="11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L885" s="10"/>
      <c r="M885" s="10"/>
      <c r="N885" s="10"/>
      <c r="O885" s="10"/>
      <c r="P885" s="10"/>
      <c r="Q885" s="11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L886" s="10"/>
      <c r="M886" s="10"/>
      <c r="N886" s="10"/>
      <c r="O886" s="10"/>
      <c r="P886" s="10"/>
      <c r="Q886" s="11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L887" s="10"/>
      <c r="M887" s="10"/>
      <c r="N887" s="10"/>
      <c r="O887" s="10"/>
      <c r="P887" s="10"/>
      <c r="Q887" s="11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L888" s="10"/>
      <c r="M888" s="10"/>
      <c r="N888" s="10"/>
      <c r="O888" s="10"/>
      <c r="P888" s="10"/>
      <c r="Q888" s="11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L889" s="10"/>
      <c r="M889" s="10"/>
      <c r="N889" s="10"/>
      <c r="O889" s="10"/>
      <c r="P889" s="10"/>
      <c r="Q889" s="11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L890" s="10"/>
      <c r="M890" s="10"/>
      <c r="N890" s="10"/>
      <c r="O890" s="10"/>
      <c r="P890" s="10"/>
      <c r="Q890" s="11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L891" s="10"/>
      <c r="M891" s="10"/>
      <c r="N891" s="10"/>
      <c r="O891" s="10"/>
      <c r="P891" s="10"/>
      <c r="Q891" s="11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L892" s="10"/>
      <c r="M892" s="10"/>
      <c r="N892" s="10"/>
      <c r="O892" s="10"/>
      <c r="P892" s="10"/>
      <c r="Q892" s="11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L893" s="10"/>
      <c r="M893" s="10"/>
      <c r="N893" s="10"/>
      <c r="O893" s="10"/>
      <c r="P893" s="10"/>
      <c r="Q893" s="11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L894" s="10"/>
      <c r="M894" s="10"/>
      <c r="N894" s="10"/>
      <c r="O894" s="10"/>
      <c r="P894" s="10"/>
      <c r="Q894" s="11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L895" s="10"/>
      <c r="M895" s="10"/>
      <c r="N895" s="10"/>
      <c r="O895" s="10"/>
      <c r="P895" s="10"/>
      <c r="Q895" s="11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L896" s="10"/>
      <c r="M896" s="10"/>
      <c r="N896" s="10"/>
      <c r="O896" s="10"/>
      <c r="P896" s="10"/>
      <c r="Q896" s="11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L897" s="10"/>
      <c r="M897" s="10"/>
      <c r="N897" s="10"/>
      <c r="O897" s="10"/>
      <c r="P897" s="10"/>
      <c r="Q897" s="11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L898" s="10"/>
      <c r="M898" s="10"/>
      <c r="N898" s="10"/>
      <c r="O898" s="10"/>
      <c r="P898" s="10"/>
      <c r="Q898" s="11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L899" s="10"/>
      <c r="M899" s="10"/>
      <c r="N899" s="10"/>
      <c r="O899" s="10"/>
      <c r="P899" s="10"/>
      <c r="Q899" s="11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L900" s="10"/>
      <c r="M900" s="10"/>
      <c r="N900" s="10"/>
      <c r="O900" s="10"/>
      <c r="P900" s="10"/>
      <c r="Q900" s="11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L901" s="10"/>
      <c r="M901" s="10"/>
      <c r="N901" s="10"/>
      <c r="O901" s="10"/>
      <c r="P901" s="10"/>
      <c r="Q901" s="11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L902" s="10"/>
      <c r="M902" s="10"/>
      <c r="N902" s="10"/>
      <c r="O902" s="10"/>
      <c r="P902" s="10"/>
      <c r="Q902" s="11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L903" s="10"/>
      <c r="M903" s="10"/>
      <c r="N903" s="10"/>
      <c r="O903" s="10"/>
      <c r="P903" s="10"/>
      <c r="Q903" s="11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L904" s="10"/>
      <c r="M904" s="10"/>
      <c r="N904" s="10"/>
      <c r="O904" s="10"/>
      <c r="P904" s="10"/>
      <c r="Q904" s="11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L905" s="10"/>
      <c r="M905" s="10"/>
      <c r="N905" s="10"/>
      <c r="O905" s="10"/>
      <c r="P905" s="10"/>
      <c r="Q905" s="11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L906" s="10"/>
      <c r="M906" s="10"/>
      <c r="N906" s="10"/>
      <c r="O906" s="10"/>
      <c r="P906" s="10"/>
      <c r="Q906" s="11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L907" s="10"/>
      <c r="M907" s="10"/>
      <c r="N907" s="10"/>
      <c r="O907" s="10"/>
      <c r="P907" s="10"/>
      <c r="Q907" s="11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L908" s="10"/>
      <c r="M908" s="10"/>
      <c r="N908" s="10"/>
      <c r="O908" s="10"/>
      <c r="P908" s="10"/>
      <c r="Q908" s="11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L909" s="10"/>
      <c r="M909" s="10"/>
      <c r="N909" s="10"/>
      <c r="O909" s="10"/>
      <c r="P909" s="10"/>
      <c r="Q909" s="11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L910" s="10"/>
      <c r="M910" s="10"/>
      <c r="N910" s="10"/>
      <c r="O910" s="10"/>
      <c r="P910" s="10"/>
      <c r="Q910" s="11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L911" s="10"/>
      <c r="M911" s="10"/>
      <c r="N911" s="10"/>
      <c r="O911" s="10"/>
      <c r="P911" s="10"/>
      <c r="Q911" s="11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L912" s="10"/>
      <c r="M912" s="10"/>
      <c r="N912" s="10"/>
      <c r="O912" s="10"/>
      <c r="P912" s="10"/>
      <c r="Q912" s="11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L913" s="10"/>
      <c r="M913" s="10"/>
      <c r="N913" s="10"/>
      <c r="O913" s="10"/>
      <c r="P913" s="10"/>
      <c r="Q913" s="11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L914" s="10"/>
      <c r="M914" s="10"/>
      <c r="N914" s="10"/>
      <c r="O914" s="10"/>
      <c r="P914" s="10"/>
      <c r="Q914" s="11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L915" s="10"/>
      <c r="M915" s="10"/>
      <c r="N915" s="10"/>
      <c r="O915" s="10"/>
      <c r="P915" s="10"/>
      <c r="Q915" s="11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L916" s="10"/>
      <c r="M916" s="10"/>
      <c r="N916" s="10"/>
      <c r="O916" s="10"/>
      <c r="P916" s="10"/>
      <c r="Q916" s="11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L917" s="10"/>
      <c r="M917" s="10"/>
      <c r="N917" s="10"/>
      <c r="O917" s="10"/>
      <c r="P917" s="10"/>
      <c r="Q917" s="11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L918" s="10"/>
      <c r="M918" s="10"/>
      <c r="N918" s="10"/>
      <c r="O918" s="10"/>
      <c r="P918" s="10"/>
      <c r="Q918" s="11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L919" s="10"/>
      <c r="M919" s="10"/>
      <c r="N919" s="10"/>
      <c r="O919" s="10"/>
      <c r="P919" s="10"/>
      <c r="Q919" s="11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L920" s="10"/>
      <c r="M920" s="10"/>
      <c r="N920" s="10"/>
      <c r="O920" s="10"/>
      <c r="P920" s="10"/>
      <c r="Q920" s="11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L921" s="10"/>
      <c r="M921" s="10"/>
      <c r="N921" s="10"/>
      <c r="O921" s="10"/>
      <c r="P921" s="10"/>
      <c r="Q921" s="11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L922" s="10"/>
      <c r="M922" s="10"/>
      <c r="N922" s="10"/>
      <c r="O922" s="10"/>
      <c r="P922" s="10"/>
      <c r="Q922" s="11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L923" s="10"/>
      <c r="M923" s="10"/>
      <c r="N923" s="10"/>
      <c r="O923" s="10"/>
      <c r="P923" s="10"/>
      <c r="Q923" s="11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L924" s="10"/>
      <c r="M924" s="10"/>
      <c r="N924" s="10"/>
      <c r="O924" s="10"/>
      <c r="P924" s="10"/>
      <c r="Q924" s="11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L925" s="10"/>
      <c r="M925" s="10"/>
      <c r="N925" s="10"/>
      <c r="O925" s="10"/>
      <c r="P925" s="10"/>
      <c r="Q925" s="11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L926" s="10"/>
      <c r="M926" s="10"/>
      <c r="N926" s="10"/>
      <c r="O926" s="10"/>
      <c r="P926" s="10"/>
      <c r="Q926" s="11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L927" s="10"/>
      <c r="M927" s="10"/>
      <c r="N927" s="10"/>
      <c r="O927" s="10"/>
      <c r="P927" s="10"/>
      <c r="Q927" s="11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L928" s="10"/>
      <c r="M928" s="10"/>
      <c r="N928" s="10"/>
      <c r="O928" s="10"/>
      <c r="P928" s="10"/>
      <c r="Q928" s="11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L929" s="10"/>
      <c r="M929" s="10"/>
      <c r="N929" s="10"/>
      <c r="O929" s="10"/>
      <c r="P929" s="10"/>
      <c r="Q929" s="11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L930" s="10"/>
      <c r="M930" s="10"/>
      <c r="N930" s="10"/>
      <c r="O930" s="10"/>
      <c r="P930" s="10"/>
      <c r="Q930" s="11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L931" s="10"/>
      <c r="M931" s="10"/>
      <c r="N931" s="10"/>
      <c r="O931" s="10"/>
      <c r="P931" s="10"/>
      <c r="Q931" s="11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L932" s="10"/>
      <c r="M932" s="10"/>
      <c r="N932" s="10"/>
      <c r="O932" s="10"/>
      <c r="P932" s="10"/>
      <c r="Q932" s="11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L933" s="10"/>
      <c r="M933" s="10"/>
      <c r="N933" s="10"/>
      <c r="O933" s="10"/>
      <c r="P933" s="10"/>
      <c r="Q933" s="11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L934" s="10"/>
      <c r="M934" s="10"/>
      <c r="N934" s="10"/>
      <c r="O934" s="10"/>
      <c r="P934" s="10"/>
      <c r="Q934" s="11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L935" s="10"/>
      <c r="M935" s="10"/>
      <c r="N935" s="10"/>
      <c r="O935" s="10"/>
      <c r="P935" s="10"/>
      <c r="Q935" s="11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L936" s="10"/>
      <c r="M936" s="10"/>
      <c r="N936" s="10"/>
      <c r="O936" s="10"/>
      <c r="P936" s="10"/>
      <c r="Q936" s="11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L937" s="10"/>
      <c r="M937" s="10"/>
      <c r="N937" s="10"/>
      <c r="O937" s="10"/>
      <c r="P937" s="10"/>
      <c r="Q937" s="11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L938" s="10"/>
      <c r="M938" s="10"/>
      <c r="N938" s="10"/>
      <c r="O938" s="10"/>
      <c r="P938" s="10"/>
      <c r="Q938" s="11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L939" s="10"/>
      <c r="M939" s="10"/>
      <c r="N939" s="10"/>
      <c r="O939" s="10"/>
      <c r="P939" s="10"/>
      <c r="Q939" s="11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L940" s="10"/>
      <c r="M940" s="10"/>
      <c r="N940" s="10"/>
      <c r="O940" s="10"/>
      <c r="P940" s="10"/>
      <c r="Q940" s="11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L941" s="10"/>
      <c r="M941" s="10"/>
      <c r="N941" s="10"/>
      <c r="O941" s="10"/>
      <c r="P941" s="10"/>
      <c r="Q941" s="11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L942" s="10"/>
      <c r="M942" s="10"/>
      <c r="N942" s="10"/>
      <c r="O942" s="10"/>
      <c r="P942" s="10"/>
      <c r="Q942" s="11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L943" s="10"/>
      <c r="M943" s="10"/>
      <c r="N943" s="10"/>
      <c r="O943" s="10"/>
      <c r="P943" s="10"/>
      <c r="Q943" s="11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L944" s="10"/>
      <c r="M944" s="10"/>
      <c r="N944" s="10"/>
      <c r="O944" s="10"/>
      <c r="P944" s="10"/>
      <c r="Q944" s="11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L945" s="10"/>
      <c r="M945" s="10"/>
      <c r="N945" s="10"/>
      <c r="O945" s="10"/>
      <c r="P945" s="10"/>
      <c r="Q945" s="11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L946" s="10"/>
      <c r="M946" s="10"/>
      <c r="N946" s="10"/>
      <c r="O946" s="10"/>
      <c r="P946" s="10"/>
      <c r="Q946" s="11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L947" s="10"/>
      <c r="M947" s="10"/>
      <c r="N947" s="10"/>
      <c r="O947" s="10"/>
      <c r="P947" s="10"/>
      <c r="Q947" s="11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L948" s="10"/>
      <c r="M948" s="10"/>
      <c r="N948" s="10"/>
      <c r="O948" s="10"/>
      <c r="P948" s="10"/>
      <c r="Q948" s="11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L949" s="10"/>
      <c r="M949" s="10"/>
      <c r="N949" s="10"/>
      <c r="O949" s="10"/>
      <c r="P949" s="10"/>
      <c r="Q949" s="11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L950" s="10"/>
      <c r="M950" s="10"/>
      <c r="N950" s="10"/>
      <c r="O950" s="10"/>
      <c r="P950" s="10"/>
      <c r="Q950" s="11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L951" s="10"/>
      <c r="M951" s="10"/>
      <c r="N951" s="10"/>
      <c r="O951" s="10"/>
      <c r="P951" s="10"/>
      <c r="Q951" s="11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L952" s="10"/>
      <c r="M952" s="10"/>
      <c r="N952" s="10"/>
      <c r="O952" s="10"/>
      <c r="P952" s="10"/>
      <c r="Q952" s="11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L953" s="10"/>
      <c r="M953" s="10"/>
      <c r="N953" s="10"/>
      <c r="O953" s="10"/>
      <c r="P953" s="10"/>
      <c r="Q953" s="11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L954" s="10"/>
      <c r="M954" s="10"/>
      <c r="N954" s="10"/>
      <c r="O954" s="10"/>
      <c r="P954" s="10"/>
      <c r="Q954" s="11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L955" s="10"/>
      <c r="M955" s="10"/>
      <c r="N955" s="10"/>
      <c r="O955" s="10"/>
      <c r="P955" s="10"/>
      <c r="Q955" s="11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L956" s="10"/>
      <c r="M956" s="10"/>
      <c r="N956" s="10"/>
      <c r="O956" s="10"/>
      <c r="P956" s="10"/>
      <c r="Q956" s="11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L957" s="10"/>
      <c r="M957" s="10"/>
      <c r="N957" s="10"/>
      <c r="O957" s="10"/>
      <c r="P957" s="10"/>
      <c r="Q957" s="11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L958" s="10"/>
      <c r="M958" s="10"/>
      <c r="N958" s="10"/>
      <c r="O958" s="10"/>
      <c r="P958" s="10"/>
      <c r="Q958" s="11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L959" s="10"/>
      <c r="M959" s="10"/>
      <c r="N959" s="10"/>
      <c r="O959" s="10"/>
      <c r="P959" s="10"/>
      <c r="Q959" s="11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L960" s="10"/>
      <c r="M960" s="10"/>
      <c r="N960" s="10"/>
      <c r="O960" s="10"/>
      <c r="P960" s="10"/>
      <c r="Q960" s="11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L961" s="10"/>
      <c r="M961" s="10"/>
      <c r="N961" s="10"/>
      <c r="O961" s="10"/>
      <c r="P961" s="10"/>
      <c r="Q961" s="11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L962" s="10"/>
      <c r="M962" s="10"/>
      <c r="N962" s="10"/>
      <c r="O962" s="10"/>
      <c r="P962" s="10"/>
      <c r="Q962" s="11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L963" s="10"/>
      <c r="M963" s="10"/>
      <c r="N963" s="10"/>
      <c r="O963" s="10"/>
      <c r="P963" s="10"/>
      <c r="Q963" s="11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L964" s="10"/>
      <c r="M964" s="10"/>
      <c r="N964" s="10"/>
      <c r="O964" s="10"/>
      <c r="P964" s="10"/>
      <c r="Q964" s="11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L965" s="10"/>
      <c r="M965" s="10"/>
      <c r="N965" s="10"/>
      <c r="O965" s="10"/>
      <c r="P965" s="10"/>
      <c r="Q965" s="11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L966" s="10"/>
      <c r="M966" s="10"/>
      <c r="N966" s="10"/>
      <c r="O966" s="10"/>
      <c r="P966" s="10"/>
      <c r="Q966" s="11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L967" s="10"/>
      <c r="M967" s="10"/>
      <c r="N967" s="10"/>
      <c r="O967" s="10"/>
      <c r="P967" s="10"/>
      <c r="Q967" s="11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L968" s="10"/>
      <c r="M968" s="10"/>
      <c r="N968" s="10"/>
      <c r="O968" s="10"/>
      <c r="P968" s="10"/>
      <c r="Q968" s="11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L969" s="10"/>
      <c r="M969" s="10"/>
      <c r="N969" s="10"/>
      <c r="O969" s="10"/>
      <c r="P969" s="10"/>
      <c r="Q969" s="11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L970" s="10"/>
      <c r="M970" s="10"/>
      <c r="N970" s="10"/>
      <c r="O970" s="10"/>
      <c r="P970" s="10"/>
      <c r="Q970" s="11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L971" s="10"/>
      <c r="M971" s="10"/>
      <c r="N971" s="10"/>
      <c r="O971" s="10"/>
      <c r="P971" s="10"/>
      <c r="Q971" s="11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L972" s="10"/>
      <c r="M972" s="10"/>
      <c r="N972" s="10"/>
      <c r="O972" s="10"/>
      <c r="P972" s="10"/>
      <c r="Q972" s="11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L973" s="10"/>
      <c r="M973" s="10"/>
      <c r="N973" s="10"/>
      <c r="O973" s="10"/>
      <c r="P973" s="10"/>
      <c r="Q973" s="11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L974" s="10"/>
      <c r="M974" s="10"/>
      <c r="N974" s="10"/>
      <c r="O974" s="10"/>
      <c r="P974" s="10"/>
      <c r="Q974" s="11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L975" s="10"/>
      <c r="M975" s="10"/>
      <c r="N975" s="10"/>
      <c r="O975" s="10"/>
      <c r="P975" s="10"/>
      <c r="Q975" s="11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L976" s="10"/>
      <c r="M976" s="10"/>
      <c r="N976" s="10"/>
      <c r="O976" s="10"/>
      <c r="P976" s="10"/>
      <c r="Q976" s="11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L977" s="10"/>
      <c r="M977" s="10"/>
      <c r="N977" s="10"/>
      <c r="O977" s="10"/>
      <c r="P977" s="10"/>
      <c r="Q977" s="11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L978" s="10"/>
      <c r="M978" s="10"/>
      <c r="N978" s="10"/>
      <c r="O978" s="10"/>
      <c r="P978" s="10"/>
      <c r="Q978" s="11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L979" s="10"/>
      <c r="M979" s="10"/>
      <c r="N979" s="10"/>
      <c r="O979" s="10"/>
      <c r="P979" s="10"/>
      <c r="Q979" s="11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L980" s="10"/>
      <c r="M980" s="10"/>
      <c r="N980" s="10"/>
      <c r="O980" s="10"/>
      <c r="P980" s="10"/>
      <c r="Q980" s="11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L981" s="10"/>
      <c r="M981" s="10"/>
      <c r="N981" s="10"/>
      <c r="O981" s="10"/>
      <c r="P981" s="10"/>
      <c r="Q981" s="11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L982" s="10"/>
      <c r="M982" s="10"/>
      <c r="N982" s="10"/>
      <c r="O982" s="10"/>
      <c r="P982" s="10"/>
      <c r="Q982" s="11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L983" s="10"/>
      <c r="M983" s="10"/>
      <c r="N983" s="10"/>
      <c r="O983" s="10"/>
      <c r="P983" s="10"/>
      <c r="Q983" s="11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L984" s="10"/>
      <c r="M984" s="10"/>
      <c r="N984" s="10"/>
      <c r="O984" s="10"/>
      <c r="P984" s="10"/>
      <c r="Q984" s="11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L985" s="10"/>
      <c r="M985" s="10"/>
      <c r="N985" s="10"/>
      <c r="O985" s="10"/>
      <c r="P985" s="10"/>
      <c r="Q985" s="11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L986" s="10"/>
      <c r="M986" s="10"/>
      <c r="N986" s="10"/>
      <c r="O986" s="10"/>
      <c r="P986" s="10"/>
      <c r="Q986" s="11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L987" s="10"/>
      <c r="M987" s="10"/>
      <c r="N987" s="10"/>
      <c r="O987" s="10"/>
      <c r="P987" s="10"/>
      <c r="Q987" s="11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L988" s="10"/>
      <c r="M988" s="10"/>
      <c r="N988" s="10"/>
      <c r="O988" s="10"/>
      <c r="P988" s="10"/>
      <c r="Q988" s="11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L989" s="10"/>
      <c r="M989" s="10"/>
      <c r="N989" s="10"/>
      <c r="O989" s="10"/>
      <c r="P989" s="10"/>
      <c r="Q989" s="11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L990" s="10"/>
      <c r="M990" s="10"/>
      <c r="N990" s="10"/>
      <c r="O990" s="10"/>
      <c r="P990" s="10"/>
      <c r="Q990" s="11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L991" s="10"/>
      <c r="M991" s="10"/>
      <c r="N991" s="10"/>
      <c r="O991" s="10"/>
      <c r="P991" s="10"/>
      <c r="Q991" s="11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L992" s="10"/>
      <c r="M992" s="10"/>
      <c r="N992" s="10"/>
      <c r="O992" s="10"/>
      <c r="P992" s="10"/>
      <c r="Q992" s="11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L993" s="10"/>
      <c r="M993" s="10"/>
      <c r="N993" s="10"/>
      <c r="O993" s="10"/>
      <c r="P993" s="10"/>
      <c r="Q993" s="11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L994" s="10"/>
      <c r="M994" s="10"/>
      <c r="N994" s="10"/>
      <c r="O994" s="10"/>
      <c r="P994" s="10"/>
      <c r="Q994" s="11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L995" s="10"/>
      <c r="M995" s="10"/>
      <c r="N995" s="10"/>
      <c r="O995" s="10"/>
      <c r="P995" s="10"/>
      <c r="Q995" s="11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L996" s="10"/>
      <c r="M996" s="10"/>
      <c r="N996" s="10"/>
      <c r="O996" s="10"/>
      <c r="P996" s="10"/>
      <c r="Q996" s="11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L997" s="10"/>
      <c r="M997" s="10"/>
      <c r="N997" s="10"/>
      <c r="O997" s="10"/>
      <c r="P997" s="10"/>
      <c r="Q997" s="11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L998" s="10"/>
      <c r="M998" s="10"/>
      <c r="N998" s="10"/>
      <c r="O998" s="10"/>
      <c r="P998" s="10"/>
      <c r="Q998" s="11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L999" s="10"/>
      <c r="M999" s="10"/>
      <c r="N999" s="10"/>
      <c r="O999" s="10"/>
      <c r="P999" s="10"/>
      <c r="Q999" s="11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L1000" s="10"/>
      <c r="M1000" s="10"/>
      <c r="N1000" s="10"/>
      <c r="O1000" s="10"/>
      <c r="P1000" s="10"/>
      <c r="Q1000" s="11"/>
    </row>
  </sheetData>
  <printOptions/>
  <pageMargins bottom="0.75" footer="0.0" header="0.0" left="0.7" right="0.7" top="0.75"/>
  <pageSetup orientation="portrait"/>
  <headerFooter>
    <oddHeader>&amp;L 10:31 PM  2021-09-16  Accrual Basis&amp;C DogPlay  Profit &amp;&amp; Loss  August 2021</oddHeader>
    <oddFooter>&amp;R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2021-09-17T05:31:51Z</dcterms:created>
  <dc:creator>Danielle</dc:creator>
</cp:coreProperties>
</file>