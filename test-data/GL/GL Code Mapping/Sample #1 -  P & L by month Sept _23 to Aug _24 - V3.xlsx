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" sheetId="1" r:id="rId4"/>
  </sheets>
  <definedNames>
    <definedName localSheetId="0" name="QB_DATA_0">Ballard!$6:$6,Ballard!$7:$7,Ballard!$8:$8,Ballard!$9:$9,Ballard!$10:$10,Ballard!$11:$11,Ballard!$12:$12,Ballard!$13:$13,Ballard!$14:$14,Ballard!$15:$15,Ballard!$16:$16,Ballard!$19:$19,Ballard!$24:$24,Ballard!$32:$32,Ballard!$33:$33,Ballard!$34:$34</definedName>
    <definedName localSheetId="1" name="QB_DATA_0">SLU!$6:$6,SLU!$7:$7,SLU!$8:$8,SLU!$9:$9,SLU!$10:$10,SLU!$11:$11,SLU!$12:$12,SLU!$13:$13,SLU!$14:$14,SLU!$15:$15,SLU!$16:$16,SLU!$17:$17,SLU!$20:$20,SLU!$25:$25,SLU!$33:$33,SLU!$34:$34</definedName>
    <definedName localSheetId="0" name="QB_DATA_1">Ballard!$35:$35,Ballard!$38:$38,Ballard!$39:$39,Ballard!$40:$40,Ballard!$41:$41,Ballard!$42:$42,Ballard!$43:$43,Ballard!$44:$44,Ballard!$46:$46,Ballard!$47:$47,Ballard!$49:$49,Ballard!$51:$51,Ballard!$52:$52,Ballard!$57:$57,Ballard!$58:$58,Ballard!$59:$59</definedName>
    <definedName localSheetId="1" name="QB_DATA_1">SLU!$35:$35,SLU!$36:$36,SLU!$39:$39,SLU!$40:$40,SLU!$41:$41,SLU!$42:$42,SLU!$43:$43,SLU!$44:$44,SLU!$45:$45,SLU!$47:$47,SLU!$48:$48,SLU!$50:$50,SLU!$52:$52,SLU!$53:$53,SLU!$58:$58,SLU!$59:$59</definedName>
    <definedName localSheetId="0" name="QB_DATA_2">Ballard!$67:$67,Ballard!$68:$68,Ballard!$71:$71,Ballard!$72:$72,Ballard!$73:$73,Ballard!$76:$76,Ballard!$77:$77,Ballard!$78:$78,Ballard!$80:$80,Ballard!$84:$84,Ballard!$85:$85,Ballard!$86:$86,Ballard!$87:$87,Ballard!$88:$88,Ballard!$91:$91,Ballard!$92:$92</definedName>
    <definedName localSheetId="1" name="QB_DATA_2">SLU!$60:$60,SLU!$68:$68,SLU!$69:$69,SLU!$72:$72,SLU!$73:$73,SLU!$74:$74,SLU!$77:$77,SLU!$78:$78,SLU!$79:$79,SLU!$81:$81,SLU!$85:$85,SLU!$86:$86,SLU!$87:$87,SLU!$88:$88,SLU!$89:$89,SLU!$92:$92</definedName>
    <definedName localSheetId="0" name="QB_DATA_3">Ballard!$93:$93,Ballard!$94:$94,Ballard!$99:$99,Ballard!$100:$100,Ballard!$101:$101,Ballard!$102:$102,Ballard!$103:$103,Ballard!$108:$108,Ballard!$109:$109,Ballard!$114:$114,Ballard!$115:$115,Ballard!$116:$116,Ballard!$121:$121,Ballard!$122:$122,Ballard!$123:$123,Ballard!$124:$124</definedName>
    <definedName localSheetId="1" name="QB_DATA_3">SLU!$93:$93,SLU!$94:$94,SLU!$99:$99,SLU!$100:$100,SLU!$101:$101,SLU!$102:$102,SLU!$107:$107,SLU!$108:$108,SLU!$113:$113,SLU!$114:$114,SLU!$115:$115,SLU!$120:$120,SLU!$121:$121,SLU!$122:$122,SLU!$123:$123,SLU!$124:$124</definedName>
    <definedName localSheetId="0" name="QB_DATA_4">Ballard!$125:$125,Ballard!$126:$126,Ballard!$127:$127,Ballard!$131:$131,Ballard!$133:$133,Ballard!$134:$134,Ballard!$135:$135,Ballard!$138:$138,Ballard!$141:$141,Ballard!$142:$142,Ballard!$143:$143,Ballard!$144:$144,Ballard!$149:$149,Ballard!$150:$150,Ballard!$151:$151,Ballard!$152:$152</definedName>
    <definedName localSheetId="1" name="QB_DATA_4">SLU!$125:$125,SLU!$126:$126,SLU!$130:$130,SLU!$132:$132,SLU!$133:$133,SLU!$134:$134,SLU!$137:$137,SLU!$138:$138,SLU!$141:$141,SLU!$142:$142,SLU!$143:$143,SLU!$148:$148,SLU!$149:$149,SLU!$150:$150,SLU!$151:$151,SLU!$154:$154</definedName>
    <definedName localSheetId="0" name="QB_DATA_5">Ballard!$155:$155,Ballard!$156:$156,Ballard!$157:$157,Ballard!$158:$158,Ballard!$159:$159,Ballard!$160:$160,Ballard!$167:$167,Ballard!$170:$170,Ballard!$171:$171,Ballard!$172:$172,Ballard!$173:$173</definedName>
    <definedName localSheetId="1" name="QB_DATA_5">SLU!$155:$155,SLU!$156:$156,SLU!$157:$157,SLU!$158:$158,SLU!$159:$159,SLU!$166:$166,SLU!$169:$169,SLU!$170:$170,SLU!$171:$171,SLU!$172:$172</definedName>
    <definedName localSheetId="0" name="QB_FORMULA_0">Ballard!$V$6,Ballard!$V$7,Ballard!$V$8,Ballard!$V$9,Ballard!$V$10,Ballard!$V$11,Ballard!$V$12,Ballard!$V$13,Ballard!$V$14,Ballard!$V$15,Ballard!$V$16,Ballard!$J$17,Ballard!$K$17,Ballard!$L$17,Ballard!$M$17,Ballard!$N$17</definedName>
    <definedName localSheetId="1" name="QB_FORMULA_0">SLU!$V$6,SLU!$V$7,SLU!$V$8,SLU!$V$9,SLU!$V$10,SLU!$V$11,SLU!$V$12,SLU!$V$13,SLU!$V$14,SLU!$V$15,SLU!$V$16,SLU!$V$17,SLU!$J$18,SLU!$K$18,SLU!$L$18,SLU!$M$18</definedName>
    <definedName localSheetId="0" name="QB_FORMULA_1">Ballard!$O$17,Ballard!$P$17,Ballard!$Q$17,Ballard!$R$17,Ballard!$S$17,Ballard!$T$17,Ballard!$U$17,Ballard!$V$17,Ballard!$V$19,Ballard!$J$20,Ballard!$K$20,Ballard!$L$20,Ballard!$M$20,Ballard!$N$20,Ballard!$O$20,Ballard!$P$20</definedName>
    <definedName localSheetId="1" name="QB_FORMULA_1">SLU!$N$18,SLU!$O$18,SLU!$P$18,SLU!$Q$18,SLU!$R$18,SLU!$S$18,SLU!$T$18,SLU!$U$18,SLU!$V$18,SLU!$V$20,SLU!$J$21,SLU!$K$21,SLU!$L$21,SLU!$M$21,SLU!$N$21,SLU!$O$21</definedName>
    <definedName localSheetId="0" name="QB_FORMULA_10">Ballard!$K$54,Ballard!$L$54,Ballard!$M$54,Ballard!$N$54,Ballard!$O$54,Ballard!$P$54,Ballard!$Q$54,Ballard!$R$54,Ballard!$S$54,Ballard!$T$54,Ballard!$U$54,Ballard!$V$54,Ballard!$V$57,Ballard!$V$58,Ballard!$V$59,Ballard!$J$60</definedName>
    <definedName localSheetId="1" name="QB_FORMULA_10">SLU!$J$55,SLU!$K$55,SLU!$L$55,SLU!$M$55,SLU!$N$55,SLU!$O$55,SLU!$P$55,SLU!$Q$55,SLU!$R$55,SLU!$S$55,SLU!$T$55,SLU!$U$55,SLU!$V$55,SLU!$V$58,SLU!$V$59,SLU!$V$60</definedName>
    <definedName localSheetId="0" name="QB_FORMULA_11">Ballard!$K$60,Ballard!$L$60,Ballard!$M$60,Ballard!$N$60,Ballard!$O$60,Ballard!$P$60,Ballard!$Q$60,Ballard!$R$60,Ballard!$S$60,Ballard!$T$60,Ballard!$U$60,Ballard!$V$60,Ballard!$J$61,Ballard!$K$61,Ballard!$L$61,Ballard!$M$61</definedName>
    <definedName localSheetId="1" name="QB_FORMULA_11">SLU!$J$61,SLU!$K$61,SLU!$L$61,SLU!$M$61,SLU!$N$61,SLU!$O$61,SLU!$P$61,SLU!$Q$61,SLU!$R$61,SLU!$S$61,SLU!$T$61,SLU!$U$61,SLU!$V$61,SLU!$J$62,SLU!$K$62,SLU!$L$62</definedName>
    <definedName localSheetId="0" name="QB_FORMULA_12">Ballard!$N$61,Ballard!$O$61,Ballard!$P$61,Ballard!$Q$61,Ballard!$R$61,Ballard!$S$61,Ballard!$T$61,Ballard!$U$61,Ballard!$V$61,Ballard!$J$62,Ballard!$K$62,Ballard!$L$62,Ballard!$M$62,Ballard!$N$62,Ballard!$O$62,Ballard!$P$62</definedName>
    <definedName localSheetId="1" name="QB_FORMULA_12">SLU!$M$62,SLU!$N$62,SLU!$O$62,SLU!$P$62,SLU!$Q$62,SLU!$R$62,SLU!$S$62,SLU!$T$62,SLU!$U$62,SLU!$V$62,SLU!$J$63,SLU!$K$63,SLU!$L$63,SLU!$M$63,SLU!$N$63,SLU!$O$63</definedName>
    <definedName localSheetId="0" name="QB_FORMULA_13">Ballard!$Q$62,Ballard!$R$62,Ballard!$S$62,Ballard!$T$62,Ballard!$U$62,Ballard!$V$62,Ballard!$J$63,Ballard!$K$63,Ballard!$L$63,Ballard!$M$63,Ballard!$N$63,Ballard!$O$63,Ballard!$P$63,Ballard!$Q$63,Ballard!$R$63,Ballard!$S$63</definedName>
    <definedName localSheetId="1" name="QB_FORMULA_13">SLU!$P$63,SLU!$Q$63,SLU!$R$63,SLU!$S$63,SLU!$T$63,SLU!$U$63,SLU!$V$63,SLU!$J$64,SLU!$K$64,SLU!$L$64,SLU!$M$64,SLU!$N$64,SLU!$O$64,SLU!$P$64,SLU!$Q$64,SLU!$R$64</definedName>
    <definedName localSheetId="0" name="QB_FORMULA_14">Ballard!$T$63,Ballard!$U$63,Ballard!$V$63,Ballard!$V$67,Ballard!$V$68,Ballard!$J$69,Ballard!$K$69,Ballard!$L$69,Ballard!$M$69,Ballard!$N$69,Ballard!$O$69,Ballard!$P$69,Ballard!$Q$69,Ballard!$R$69,Ballard!$S$69,Ballard!$T$69</definedName>
    <definedName localSheetId="1" name="QB_FORMULA_14">SLU!$S$64,SLU!$T$64,SLU!$U$64,SLU!$V$64,SLU!$V$68,SLU!$V$69,SLU!$J$70,SLU!$K$70,SLU!$L$70,SLU!$M$70,SLU!$N$70,SLU!$O$70,SLU!$P$70,SLU!$Q$70,SLU!$R$70,SLU!$S$70</definedName>
    <definedName localSheetId="0" name="QB_FORMULA_15">Ballard!$U$69,Ballard!$V$69,Ballard!$V$71,Ballard!$V$72,Ballard!$V$73,Ballard!$J$74,Ballard!$K$74,Ballard!$L$74,Ballard!$M$74,Ballard!$N$74,Ballard!$O$74,Ballard!$P$74,Ballard!$Q$74,Ballard!$R$74,Ballard!$S$74,Ballard!$T$74</definedName>
    <definedName localSheetId="1" name="QB_FORMULA_15">SLU!$T$70,SLU!$U$70,SLU!$V$70,SLU!$V$72,SLU!$V$73,SLU!$V$74,SLU!$J$75,SLU!$K$75,SLU!$L$75,SLU!$M$75,SLU!$N$75,SLU!$O$75,SLU!$P$75,SLU!$Q$75,SLU!$R$75,SLU!$S$75</definedName>
    <definedName localSheetId="0" name="QB_FORMULA_16">Ballard!$U$74,Ballard!$V$74,Ballard!$V$76,Ballard!$V$77,Ballard!$V$78,Ballard!$J$79,Ballard!$K$79,Ballard!$L$79,Ballard!$M$79,Ballard!$N$79,Ballard!$O$79,Ballard!$P$79,Ballard!$Q$79,Ballard!$R$79,Ballard!$S$79,Ballard!$T$79</definedName>
    <definedName localSheetId="1" name="QB_FORMULA_16">SLU!$T$75,SLU!$U$75,SLU!$V$75,SLU!$V$77,SLU!$V$78,SLU!$V$79,SLU!$J$80,SLU!$K$80,SLU!$L$80,SLU!$M$80,SLU!$N$80,SLU!$O$80,SLU!$P$80,SLU!$Q$80,SLU!$R$80,SLU!$S$80</definedName>
    <definedName localSheetId="0" name="QB_FORMULA_17">Ballard!$U$79,Ballard!$V$79,Ballard!$V$80,Ballard!$J$81,Ballard!$K$81,Ballard!$L$81,Ballard!$M$81,Ballard!$N$81,Ballard!$O$81,Ballard!$P$81,Ballard!$Q$81,Ballard!$R$81,Ballard!$S$81,Ballard!$T$81,Ballard!$U$81,Ballard!$V$81</definedName>
    <definedName localSheetId="1" name="QB_FORMULA_17">SLU!$T$80,SLU!$U$80,SLU!$V$80,SLU!$V$81,SLU!$J$82,SLU!$K$82,SLU!$L$82,SLU!$M$82,SLU!$N$82,SLU!$O$82,SLU!$P$82,SLU!$Q$82,SLU!$R$82,SLU!$S$82,SLU!$T$82,SLU!$U$82</definedName>
    <definedName localSheetId="0" name="QB_FORMULA_18">Ballard!$V$84,Ballard!$V$85,Ballard!$V$86,Ballard!$V$87,Ballard!$V$88,Ballard!$J$89,Ballard!$K$89,Ballard!$L$89,Ballard!$M$89,Ballard!$N$89,Ballard!$O$89,Ballard!$P$89,Ballard!$Q$89,Ballard!$R$89,Ballard!$S$89,Ballard!$T$89</definedName>
    <definedName localSheetId="1" name="QB_FORMULA_18">SLU!$V$82,SLU!$V$85,SLU!$V$86,SLU!$V$87,SLU!$V$88,SLU!$V$89,SLU!$J$90,SLU!$K$90,SLU!$L$90,SLU!$M$90,SLU!$N$90,SLU!$O$90,SLU!$P$90,SLU!$Q$90,SLU!$R$90,SLU!$S$90</definedName>
    <definedName localSheetId="0" name="QB_FORMULA_19">Ballard!$U$89,Ballard!$V$89,Ballard!$V$91,Ballard!$V$92,Ballard!$V$93,Ballard!$V$94,Ballard!$J$95,Ballard!$K$95,Ballard!$L$95,Ballard!$M$95,Ballard!$N$95,Ballard!$O$95,Ballard!$P$95,Ballard!$Q$95,Ballard!$R$95,Ballard!$S$95</definedName>
    <definedName localSheetId="1" name="QB_FORMULA_19">SLU!$T$90,SLU!$U$90,SLU!$V$90,SLU!$V$92,SLU!$V$93,SLU!$V$94,SLU!$J$95,SLU!$K$95,SLU!$L$95,SLU!$M$95,SLU!$N$95,SLU!$O$95,SLU!$P$95,SLU!$Q$95,SLU!$R$95,SLU!$S$95</definedName>
    <definedName localSheetId="0" name="QB_FORMULA_2">Ballard!$Q$20,Ballard!$R$20,Ballard!$S$20,Ballard!$T$20,Ballard!$U$20,Ballard!$V$20,Ballard!$J$21,Ballard!$K$21,Ballard!$L$21,Ballard!$M$21,Ballard!$N$21,Ballard!$O$21,Ballard!$P$21,Ballard!$Q$21,Ballard!$R$21,Ballard!$S$21</definedName>
    <definedName localSheetId="1" name="QB_FORMULA_2">SLU!$P$21,SLU!$Q$21,SLU!$R$21,SLU!$S$21,SLU!$T$21,SLU!$U$21,SLU!$V$21,SLU!$J$22,SLU!$K$22,SLU!$L$22,SLU!$M$22,SLU!$N$22,SLU!$O$22,SLU!$P$22,SLU!$Q$22,SLU!$R$22</definedName>
    <definedName localSheetId="0" name="QB_FORMULA_20">Ballard!$T$95,Ballard!$U$95,Ballard!$V$95,Ballard!$J$96,Ballard!$K$96,Ballard!$L$96,Ballard!$M$96,Ballard!$N$96,Ballard!$O$96,Ballard!$P$96,Ballard!$Q$96,Ballard!$R$96,Ballard!$S$96,Ballard!$T$96,Ballard!$U$96,Ballard!$V$96</definedName>
    <definedName localSheetId="1" name="QB_FORMULA_20">SLU!$T$95,SLU!$U$95,SLU!$V$95,SLU!$J$96,SLU!$K$96,SLU!$L$96,SLU!$M$96,SLU!$N$96,SLU!$O$96,SLU!$P$96,SLU!$Q$96,SLU!$R$96,SLU!$S$96,SLU!$T$96,SLU!$U$96,SLU!$V$96</definedName>
    <definedName localSheetId="0" name="QB_FORMULA_21">Ballard!$V$99,Ballard!$V$100,Ballard!$V$101,Ballard!$V$102,Ballard!$V$103,Ballard!$J$104,Ballard!$K$104,Ballard!$L$104,Ballard!$M$104,Ballard!$N$104,Ballard!$O$104,Ballard!$P$104,Ballard!$Q$104,Ballard!$R$104,Ballard!$S$104,Ballard!$T$104</definedName>
    <definedName localSheetId="1" name="QB_FORMULA_21">SLU!$V$99,SLU!$V$100,SLU!$V$101,SLU!$V$102,SLU!$J$103,SLU!$K$103,SLU!$L$103,SLU!$M$103,SLU!$N$103,SLU!$O$103,SLU!$P$103,SLU!$Q$103,SLU!$R$103,SLU!$S$103,SLU!$T$103,SLU!$U$103</definedName>
    <definedName localSheetId="0" name="QB_FORMULA_22">Ballard!$U$104,Ballard!$V$104,Ballard!$J$105,Ballard!$K$105,Ballard!$L$105,Ballard!$M$105,Ballard!$N$105,Ballard!$O$105,Ballard!$P$105,Ballard!$Q$105,Ballard!$R$105,Ballard!$S$105,Ballard!$T$105,Ballard!$U$105,Ballard!$V$105,Ballard!$V$108</definedName>
    <definedName localSheetId="1" name="QB_FORMULA_22">SLU!$V$103,SLU!$J$104,SLU!$K$104,SLU!$L$104,SLU!$M$104,SLU!$N$104,SLU!$O$104,SLU!$P$104,SLU!$Q$104,SLU!$R$104,SLU!$S$104,SLU!$T$104,SLU!$U$104,SLU!$V$104,SLU!$V$107,SLU!$V$108</definedName>
    <definedName localSheetId="0" name="QB_FORMULA_23">Ballard!$V$109,Ballard!$J$110,Ballard!$K$110,Ballard!$L$110,Ballard!$M$110,Ballard!$N$110,Ballard!$O$110,Ballard!$P$110,Ballard!$Q$110,Ballard!$R$110,Ballard!$S$110,Ballard!$T$110,Ballard!$U$110,Ballard!$V$110,Ballard!$J$111,Ballard!$K$111</definedName>
    <definedName localSheetId="1" name="QB_FORMULA_23">SLU!$J$109,SLU!$K$109,SLU!$L$109,SLU!$M$109,SLU!$N$109,SLU!$O$109,SLU!$P$109,SLU!$Q$109,SLU!$R$109,SLU!$S$109,SLU!$T$109,SLU!$U$109,SLU!$V$109,SLU!$J$110,SLU!$K$110,SLU!$L$110</definedName>
    <definedName localSheetId="0" name="QB_FORMULA_24">Ballard!$L$111,Ballard!$M$111,Ballard!$N$111,Ballard!$O$111,Ballard!$P$111,Ballard!$Q$111,Ballard!$R$111,Ballard!$S$111,Ballard!$T$111,Ballard!$U$111,Ballard!$V$111,Ballard!$V$114,Ballard!$V$115,Ballard!$V$116,Ballard!$J$117,Ballard!$K$117</definedName>
    <definedName localSheetId="1" name="QB_FORMULA_24">SLU!$M$110,SLU!$N$110,SLU!$O$110,SLU!$P$110,SLU!$Q$110,SLU!$R$110,SLU!$S$110,SLU!$T$110,SLU!$U$110,SLU!$V$110,SLU!$V$113,SLU!$V$114,SLU!$V$115,SLU!$J$116,SLU!$K$116,SLU!$L$116</definedName>
    <definedName localSheetId="0" name="QB_FORMULA_25">Ballard!$L$117,Ballard!$M$117,Ballard!$N$117,Ballard!$O$117,Ballard!$P$117,Ballard!$Q$117,Ballard!$R$117,Ballard!$S$117,Ballard!$T$117,Ballard!$U$117,Ballard!$V$117,Ballard!$J$118,Ballard!$K$118,Ballard!$L$118,Ballard!$M$118,Ballard!$N$118</definedName>
    <definedName localSheetId="1" name="QB_FORMULA_25">SLU!$M$116,SLU!$N$116,SLU!$O$116,SLU!$P$116,SLU!$Q$116,SLU!$R$116,SLU!$S$116,SLU!$T$116,SLU!$U$116,SLU!$V$116,SLU!$J$117,SLU!$K$117,SLU!$L$117,SLU!$M$117,SLU!$N$117,SLU!$O$117</definedName>
    <definedName localSheetId="0" name="QB_FORMULA_26">Ballard!$O$118,Ballard!$P$118,Ballard!$Q$118,Ballard!$R$118,Ballard!$S$118,Ballard!$T$118,Ballard!$U$118,Ballard!$V$118,Ballard!$V$121,Ballard!$V$122,Ballard!$V$123,Ballard!$V$124,Ballard!$V$125,Ballard!$V$126,Ballard!$V$127,Ballard!$J$128</definedName>
    <definedName localSheetId="1" name="QB_FORMULA_26">SLU!$P$117,SLU!$Q$117,SLU!$R$117,SLU!$S$117,SLU!$T$117,SLU!$U$117,SLU!$V$117,SLU!$V$120,SLU!$V$121,SLU!$V$122,SLU!$V$123,SLU!$V$124,SLU!$V$125,SLU!$V$126,SLU!$J$127,SLU!$K$127</definedName>
    <definedName localSheetId="0" name="QB_FORMULA_27">Ballard!$K$128,Ballard!$L$128,Ballard!$M$128,Ballard!$N$128,Ballard!$O$128,Ballard!$P$128,Ballard!$Q$128,Ballard!$R$128,Ballard!$S$128,Ballard!$T$128,Ballard!$U$128,Ballard!$V$128,Ballard!$J$129,Ballard!$K$129,Ballard!$L$129,Ballard!$M$129</definedName>
    <definedName localSheetId="1" name="QB_FORMULA_27">SLU!$L$127,SLU!$M$127,SLU!$N$127,SLU!$O$127,SLU!$P$127,SLU!$Q$127,SLU!$R$127,SLU!$S$127,SLU!$T$127,SLU!$U$127,SLU!$V$127,SLU!$J$128,SLU!$K$128,SLU!$L$128,SLU!$M$128,SLU!$N$128</definedName>
    <definedName localSheetId="0" name="QB_FORMULA_28">Ballard!$N$129,Ballard!$O$129,Ballard!$P$129,Ballard!$Q$129,Ballard!$R$129,Ballard!$S$129,Ballard!$T$129,Ballard!$U$129,Ballard!$V$129,Ballard!$V$131,Ballard!$V$133,Ballard!$V$134,Ballard!$V$135,Ballard!$J$136,Ballard!$K$136,Ballard!$L$136</definedName>
    <definedName localSheetId="1" name="QB_FORMULA_28">SLU!$O$128,SLU!$P$128,SLU!$Q$128,SLU!$R$128,SLU!$S$128,SLU!$T$128,SLU!$U$128,SLU!$V$128,SLU!$V$130,SLU!$V$132,SLU!$V$133,SLU!$V$134,SLU!$J$135,SLU!$K$135,SLU!$L$135,SLU!$M$135</definedName>
    <definedName localSheetId="0" name="QB_FORMULA_29">Ballard!$M$136,Ballard!$N$136,Ballard!$O$136,Ballard!$P$136,Ballard!$Q$136,Ballard!$R$136,Ballard!$S$136,Ballard!$T$136,Ballard!$U$136,Ballard!$V$136,Ballard!$V$138,Ballard!$J$139,Ballard!$K$139,Ballard!$L$139,Ballard!$M$139,Ballard!$N$139</definedName>
    <definedName localSheetId="1" name="QB_FORMULA_29">SLU!$N$135,SLU!$O$135,SLU!$P$135,SLU!$Q$135,SLU!$R$135,SLU!$S$135,SLU!$T$135,SLU!$U$135,SLU!$V$135,SLU!$V$137,SLU!$V$138,SLU!$J$139,SLU!$K$139,SLU!$L$139,SLU!$M$139,SLU!$N$139</definedName>
    <definedName localSheetId="0" name="QB_FORMULA_3">Ballard!$T$21,Ballard!$U$21,Ballard!$V$21,Ballard!$V$24,Ballard!$J$25,Ballard!$K$25,Ballard!$L$25,Ballard!$M$25,Ballard!$N$25,Ballard!$O$25,Ballard!$P$25,Ballard!$Q$25,Ballard!$R$25,Ballard!$S$25,Ballard!$T$25,Ballard!$U$25</definedName>
    <definedName localSheetId="1" name="QB_FORMULA_3">SLU!$S$22,SLU!$T$22,SLU!$U$22,SLU!$V$22,SLU!$V$25,SLU!$J$26,SLU!$K$26,SLU!$L$26,SLU!$M$26,SLU!$N$26,SLU!$O$26,SLU!$P$26,SLU!$Q$26,SLU!$R$26,SLU!$S$26,SLU!$T$26</definedName>
    <definedName localSheetId="0" name="QB_FORMULA_30">Ballard!$O$139,Ballard!$P$139,Ballard!$Q$139,Ballard!$R$139,Ballard!$S$139,Ballard!$T$139,Ballard!$U$139,Ballard!$V$139,Ballard!$V$141,Ballard!$V$142,Ballard!$V$143,Ballard!$V$144,Ballard!$J$145,Ballard!$K$145,Ballard!$L$145,Ballard!$M$145</definedName>
    <definedName localSheetId="1" name="QB_FORMULA_30">SLU!$O$139,SLU!$P$139,SLU!$Q$139,SLU!$R$139,SLU!$S$139,SLU!$T$139,SLU!$U$139,SLU!$V$139,SLU!$V$141,SLU!$V$142,SLU!$V$143,SLU!$J$144,SLU!$K$144,SLU!$L$144,SLU!$M$144,SLU!$N$144</definedName>
    <definedName localSheetId="0" name="QB_FORMULA_31">Ballard!$N$145,Ballard!$O$145,Ballard!$P$145,Ballard!$Q$145,Ballard!$R$145,Ballard!$S$145,Ballard!$T$145,Ballard!$U$145,Ballard!$V$145,Ballard!$J$146,Ballard!$K$146,Ballard!$L$146,Ballard!$M$146,Ballard!$N$146,Ballard!$O$146,Ballard!$P$146</definedName>
    <definedName localSheetId="1" name="QB_FORMULA_31">SLU!$O$144,SLU!$P$144,SLU!$Q$144,SLU!$R$144,SLU!$S$144,SLU!$T$144,SLU!$U$144,SLU!$V$144,SLU!$J$145,SLU!$K$145,SLU!$L$145,SLU!$M$145,SLU!$N$145,SLU!$O$145,SLU!$P$145,SLU!$Q$145</definedName>
    <definedName localSheetId="0" name="QB_FORMULA_32">Ballard!$Q$146,Ballard!$R$146,Ballard!$S$146,Ballard!$T$146,Ballard!$U$146,Ballard!$V$146,Ballard!$V$149,Ballard!$V$150,Ballard!$V$151,Ballard!$V$152,Ballard!$J$153,Ballard!$K$153,Ballard!$L$153,Ballard!$M$153,Ballard!$N$153,Ballard!$O$153</definedName>
    <definedName localSheetId="1" name="QB_FORMULA_32">SLU!$R$145,SLU!$S$145,SLU!$T$145,SLU!$U$145,SLU!$V$145,SLU!$V$148,SLU!$V$149,SLU!$V$150,SLU!$V$151,SLU!$J$152,SLU!$K$152,SLU!$L$152,SLU!$M$152,SLU!$N$152,SLU!$O$152,SLU!$P$152</definedName>
    <definedName localSheetId="0" name="QB_FORMULA_33">Ballard!$P$153,Ballard!$Q$153,Ballard!$R$153,Ballard!$S$153,Ballard!$T$153,Ballard!$U$153,Ballard!$V$153,Ballard!$V$155,Ballard!$V$156,Ballard!$V$157,Ballard!$V$158,Ballard!$V$159,Ballard!$V$160,Ballard!$J$161,Ballard!$K$161,Ballard!$L$161</definedName>
    <definedName localSheetId="1" name="QB_FORMULA_33">SLU!$Q$152,SLU!$R$152,SLU!$S$152,SLU!$T$152,SLU!$U$152,SLU!$V$152,SLU!$V$154,SLU!$V$155,SLU!$V$156,SLU!$V$157,SLU!$V$158,SLU!$V$159,SLU!$J$160,SLU!$K$160,SLU!$L$160,SLU!$M$160</definedName>
    <definedName localSheetId="0" name="QB_FORMULA_34">Ballard!$M$161,Ballard!$N$161,Ballard!$O$161,Ballard!$P$161,Ballard!$Q$161,Ballard!$R$161,Ballard!$S$161,Ballard!$T$161,Ballard!$U$161,Ballard!$V$161,Ballard!$J$162,Ballard!$K$162,Ballard!$L$162,Ballard!$M$162,Ballard!$N$162,Ballard!$O$162</definedName>
    <definedName localSheetId="1" name="QB_FORMULA_34">SLU!$N$160,SLU!$O$160,SLU!$P$160,SLU!$Q$160,SLU!$R$160,SLU!$S$160,SLU!$T$160,SLU!$U$160,SLU!$V$160,SLU!$J$161,SLU!$K$161,SLU!$L$161,SLU!$M$161,SLU!$N$161,SLU!$O$161,SLU!$P$161</definedName>
    <definedName localSheetId="0" name="QB_FORMULA_35">Ballard!$P$162,Ballard!$Q$162,Ballard!$R$162,Ballard!$S$162,Ballard!$T$162,Ballard!$U$162,Ballard!$V$162,Ballard!$J$163,Ballard!$K$163,Ballard!$L$163,Ballard!$M$163,Ballard!$N$163,Ballard!$O$163,Ballard!$P$163,Ballard!$Q$163,Ballard!$R$163</definedName>
    <definedName localSheetId="1" name="QB_FORMULA_35">SLU!$Q$161,SLU!$R$161,SLU!$S$161,SLU!$T$161,SLU!$U$161,SLU!$V$161,SLU!$J$162,SLU!$K$162,SLU!$L$162,SLU!$M$162,SLU!$N$162,SLU!$O$162,SLU!$P$162,SLU!$Q$162,SLU!$R$162,SLU!$S$162</definedName>
    <definedName localSheetId="0" name="QB_FORMULA_36">Ballard!$S$163,Ballard!$T$163,Ballard!$U$163,Ballard!$V$163,Ballard!$J$164,Ballard!$K$164,Ballard!$L$164,Ballard!$M$164,Ballard!$N$164,Ballard!$O$164,Ballard!$P$164,Ballard!$Q$164,Ballard!$R$164,Ballard!$S$164,Ballard!$T$164,Ballard!$U$164</definedName>
    <definedName localSheetId="1" name="QB_FORMULA_36">SLU!$T$162,SLU!$U$162,SLU!$V$162,SLU!$J$163,SLU!$K$163,SLU!$L$163,SLU!$M$163,SLU!$N$163,SLU!$O$163,SLU!$P$163,SLU!$Q$163,SLU!$R$163,SLU!$S$163,SLU!$T$163,SLU!$U$163,SLU!$V$163</definedName>
    <definedName localSheetId="0" name="QB_FORMULA_37">Ballard!$V$164,Ballard!$V$167,Ballard!$J$168,Ballard!$K$168,Ballard!$L$168,Ballard!$M$168,Ballard!$N$168,Ballard!$O$168,Ballard!$P$168,Ballard!$Q$168,Ballard!$R$168,Ballard!$S$168,Ballard!$T$168,Ballard!$U$168,Ballard!$V$168,Ballard!$V$170</definedName>
    <definedName localSheetId="1" name="QB_FORMULA_37">SLU!$V$166,SLU!$J$167,SLU!$K$167,SLU!$L$167,SLU!$M$167,SLU!$N$167,SLU!$O$167,SLU!$P$167,SLU!$Q$167,SLU!$R$167,SLU!$S$167,SLU!$T$167,SLU!$U$167,SLU!$V$167,SLU!$V$169,SLU!$V$170</definedName>
    <definedName localSheetId="0" name="QB_FORMULA_38">Ballard!$V$171,Ballard!$V$172,Ballard!$V$173,Ballard!$J$174,Ballard!$K$174,Ballard!$L$174,Ballard!$M$174,Ballard!$N$174,Ballard!$O$174,Ballard!$P$174,Ballard!$Q$174,Ballard!$R$174,Ballard!$S$174,Ballard!$T$174,Ballard!$U$174,Ballard!$V$174</definedName>
    <definedName localSheetId="1" name="QB_FORMULA_38">SLU!$V$171,SLU!$V$172,SLU!$J$173,SLU!$K$173,SLU!$L$173,SLU!$M$173,SLU!$N$173,SLU!$O$173,SLU!$P$173,SLU!$Q$173,SLU!$R$173,SLU!$S$173,SLU!$T$173,SLU!$U$173,SLU!$V$173,SLU!$J$174</definedName>
    <definedName localSheetId="0" name="QB_FORMULA_39">Ballard!$J$175,Ballard!$K$175,Ballard!$L$175,Ballard!$M$175,Ballard!$N$175,Ballard!$O$175,Ballard!$P$175,Ballard!$Q$175,Ballard!$R$175,Ballard!$S$175,Ballard!$T$175,Ballard!$U$175,Ballard!$V$175,Ballard!$J$176,Ballard!$K$176,Ballard!$L$176</definedName>
    <definedName localSheetId="1" name="QB_FORMULA_39">SLU!$K$174,SLU!$L$174,SLU!$M$174,SLU!$N$174,SLU!$O$174,SLU!$P$174,SLU!$Q$174,SLU!$R$174,SLU!$S$174,SLU!$T$174,SLU!$U$174,SLU!$V$174,SLU!$J$175,SLU!$K$175,SLU!$L$175,SLU!$M$175</definedName>
    <definedName localSheetId="0" name="QB_FORMULA_4">Ballard!$V$25,Ballard!$J$26,Ballard!$K$26,Ballard!$L$26,Ballard!$M$26,Ballard!$N$26,Ballard!$O$26,Ballard!$P$26,Ballard!$Q$26,Ballard!$R$26,Ballard!$S$26,Ballard!$T$26,Ballard!$U$26,Ballard!$V$26,Ballard!$J$27,Ballard!$K$27</definedName>
    <definedName localSheetId="1" name="QB_FORMULA_4">SLU!$U$26,SLU!$V$26,SLU!$J$27,SLU!$K$27,SLU!$L$27,SLU!$M$27,SLU!$N$27,SLU!$O$27,SLU!$P$27,SLU!$Q$27,SLU!$R$27,SLU!$S$27,SLU!$T$27,SLU!$U$27,SLU!$V$27,SLU!$J$28</definedName>
    <definedName localSheetId="0" name="QB_FORMULA_40">Ballard!$M$176,Ballard!$N$176,Ballard!$O$176,Ballard!$P$176,Ballard!$Q$176,Ballard!$R$176,Ballard!$S$176,Ballard!$T$176,Ballard!$U$176,Ballard!$V$176</definedName>
    <definedName localSheetId="1" name="QB_FORMULA_40">SLU!$N$175,SLU!$O$175,SLU!$P$175,SLU!$Q$175,SLU!$R$175,SLU!$S$175,SLU!$T$175,SLU!$U$175,SLU!$V$175</definedName>
    <definedName localSheetId="0" name="QB_FORMULA_5">Ballard!$L$27,Ballard!$M$27,Ballard!$N$27,Ballard!$O$27,Ballard!$P$27,Ballard!$Q$27,Ballard!$R$27,Ballard!$S$27,Ballard!$T$27,Ballard!$U$27,Ballard!$V$27,Ballard!$V$32,Ballard!$V$33,Ballard!$V$34,Ballard!$V$35,Ballard!$J$36</definedName>
    <definedName localSheetId="1" name="QB_FORMULA_5">SLU!$K$28,SLU!$L$28,SLU!$M$28,SLU!$N$28,SLU!$O$28,SLU!$P$28,SLU!$Q$28,SLU!$R$28,SLU!$S$28,SLU!$T$28,SLU!$U$28,SLU!$V$28,SLU!$V$33,SLU!$V$34,SLU!$V$35,SLU!$V$36</definedName>
    <definedName localSheetId="0" name="QB_FORMULA_6">Ballard!$K$36,Ballard!$L$36,Ballard!$M$36,Ballard!$N$36,Ballard!$O$36,Ballard!$P$36,Ballard!$Q$36,Ballard!$R$36,Ballard!$S$36,Ballard!$T$36,Ballard!$U$36,Ballard!$V$36,Ballard!$V$38,Ballard!$V$39,Ballard!$V$40,Ballard!$V$41</definedName>
    <definedName localSheetId="1" name="QB_FORMULA_6">SLU!$J$37,SLU!$K$37,SLU!$L$37,SLU!$M$37,SLU!$N$37,SLU!$O$37,SLU!$P$37,SLU!$Q$37,SLU!$R$37,SLU!$S$37,SLU!$T$37,SLU!$U$37,SLU!$V$37,SLU!$V$39,SLU!$V$40,SLU!$V$41</definedName>
    <definedName localSheetId="0" name="QB_FORMULA_7">Ballard!$V$42,Ballard!$V$43,Ballard!$V$44,Ballard!$V$46,Ballard!$V$47,Ballard!$J$48,Ballard!$K$48,Ballard!$L$48,Ballard!$M$48,Ballard!$N$48,Ballard!$O$48,Ballard!$P$48,Ballard!$Q$48,Ballard!$R$48,Ballard!$S$48,Ballard!$T$48</definedName>
    <definedName localSheetId="1" name="QB_FORMULA_7">SLU!$V$42,SLU!$V$43,SLU!$V$44,SLU!$V$45,SLU!$V$47,SLU!$V$48,SLU!$J$49,SLU!$K$49,SLU!$L$49,SLU!$M$49,SLU!$N$49,SLU!$O$49,SLU!$P$49,SLU!$Q$49,SLU!$R$49,SLU!$S$49</definedName>
    <definedName localSheetId="0" name="QB_FORMULA_8">Ballard!$U$48,Ballard!$V$48,Ballard!$V$49,Ballard!$J$50,Ballard!$K$50,Ballard!$L$50,Ballard!$M$50,Ballard!$N$50,Ballard!$O$50,Ballard!$P$50,Ballard!$Q$50,Ballard!$R$50,Ballard!$S$50,Ballard!$T$50,Ballard!$U$50,Ballard!$V$50</definedName>
    <definedName localSheetId="1" name="QB_FORMULA_8">SLU!$T$49,SLU!$U$49,SLU!$V$49,SLU!$V$50,SLU!$J$51,SLU!$K$51,SLU!$L$51,SLU!$M$51,SLU!$N$51,SLU!$O$51,SLU!$P$51,SLU!$Q$51,SLU!$R$51,SLU!$S$51,SLU!$T$51,SLU!$U$51</definedName>
    <definedName localSheetId="0" name="QB_FORMULA_9">Ballard!$V$51,Ballard!$V$52,Ballard!$J$53,Ballard!$K$53,Ballard!$L$53,Ballard!$M$53,Ballard!$N$53,Ballard!$O$53,Ballard!$P$53,Ballard!$Q$53,Ballard!$R$53,Ballard!$S$53,Ballard!$T$53,Ballard!$U$53,Ballard!$V$53,Ballard!$J$54</definedName>
    <definedName localSheetId="1" name="QB_FORMULA_9">SLU!$V$51,SLU!$V$52,SLU!$V$53,SLU!$J$54,SLU!$K$54,SLU!$L$54,SLU!$M$54,SLU!$N$54,SLU!$O$54,SLU!$P$54,SLU!$Q$54,SLU!$R$54,SLU!$S$54,SLU!$T$54,SLU!$U$54,SLU!$V$54</definedName>
    <definedName localSheetId="0" name="QBCANSUPPORTUPDATE">TRUE</definedName>
    <definedName localSheetId="1" name="QBCANSUPPORTUPDATE">TRUE</definedName>
    <definedName localSheetId="0" name="QBCOMPANYFILENAME">"X:\CURRENT\Downtown Dog Lounge\Current Account Files - QB on Q Drive\DDL Quickbooks File NEW\DDL Quickbooks File\ddl 5.2015.qbw"</definedName>
    <definedName localSheetId="1" name="QBCOMPANYFILENAME">"X:\CURRENT\Downtown Dog Lounge\Current Account Files - QB on Q Drive\DDL Quickbooks File NEW\DDL Quickbooks File\ddl 5.2015.qbw"</definedName>
    <definedName localSheetId="0" name="QBENDDATE">20240831</definedName>
    <definedName localSheetId="1" name="QBENDDATE">20240831</definedName>
    <definedName localSheetId="0" name="QBHEADERSONSCREEN">FALSE</definedName>
    <definedName localSheetId="1" name="QBHEADERSONSCREEN">FALSE</definedName>
    <definedName localSheetId="0" name="QBMETADATASIZE">5931</definedName>
    <definedName localSheetId="1" name="QBMETADATASIZE">5931</definedName>
    <definedName localSheetId="0" name="QBPRESERVECOLOR">TRUE</definedName>
    <definedName localSheetId="1" name="QBPRESERVECOLOR">TRUE</definedName>
    <definedName localSheetId="0" name="QBPRESERVEFONT">TRUE</definedName>
    <definedName localSheetId="1" name="QBPRESERVEFONT">TRUE</definedName>
    <definedName localSheetId="0" name="QBPRESERVEROWHEIGHT">FALSE</definedName>
    <definedName localSheetId="1" name="QBPRESERVEROWHEIGHT">FALSE</definedName>
    <definedName localSheetId="0" name="QBPRESERVESPACE">FALSE</definedName>
    <definedName localSheetId="1" name="QBPRESERVESPACE">FALSE</definedName>
    <definedName localSheetId="0" name="QBREPORTCOLAXIS">6</definedName>
    <definedName localSheetId="1" name="QBREPORTCOLAXIS">6</definedName>
    <definedName localSheetId="0" name="QBREPORTCOMPANYID">"fb122ead54a443aa856b923b9d124b1f"</definedName>
    <definedName localSheetId="1" name="QBREPORTCOMPANYID">"fb122ead54a443aa856b923b9d124b1f"</definedName>
    <definedName localSheetId="0" name="QBREPORTCOMPARECOL_ANNUALBUDGET">FALSE</definedName>
    <definedName localSheetId="1" name="QBREPORTCOMPARECOL_ANNUALBUDGET">FALSE</definedName>
    <definedName localSheetId="0" name="QBREPORTCOMPARECOL_AVGCOGS">FALSE</definedName>
    <definedName localSheetId="1" name="QBREPORTCOMPARECOL_AVGCOGS">FALSE</definedName>
    <definedName localSheetId="0" name="QBREPORTCOMPARECOL_AVGPRICE">FALSE</definedName>
    <definedName localSheetId="1" name="QBREPORTCOMPARECOL_AVGPRICE">FALSE</definedName>
    <definedName localSheetId="0" name="QBREPORTCOMPARECOL_BUDDIFF">FALSE</definedName>
    <definedName localSheetId="1" name="QBREPORTCOMPARECOL_BUDDIFF">FALSE</definedName>
    <definedName localSheetId="0" name="QBREPORTCOMPARECOL_BUDGET">FALSE</definedName>
    <definedName localSheetId="1" name="QBREPORTCOMPARECOL_BUDGET">FALSE</definedName>
    <definedName localSheetId="0" name="QBREPORTCOMPARECOL_BUDPCT">FALSE</definedName>
    <definedName localSheetId="1" name="QBREPORTCOMPARECOL_BUDPCT">FALSE</definedName>
    <definedName localSheetId="0" name="QBREPORTCOMPARECOL_COGS">FALSE</definedName>
    <definedName localSheetId="1" name="QBREPORTCOMPARECOL_COGS">FALSE</definedName>
    <definedName localSheetId="0" name="QBREPORTCOMPARECOL_EXCLUDEAMOUNT">FALSE</definedName>
    <definedName localSheetId="1" name="QBREPORTCOMPARECOL_EXCLUDEAMOUNT">FALSE</definedName>
    <definedName localSheetId="0" name="QBREPORTCOMPARECOL_EXCLUDECURPERIOD">FALSE</definedName>
    <definedName localSheetId="1" name="QBREPORTCOMPARECOL_EXCLUDECURPERIOD">FALSE</definedName>
    <definedName localSheetId="0" name="QBREPORTCOMPARECOL_FORECAST">FALSE</definedName>
    <definedName localSheetId="1" name="QBREPORTCOMPARECOL_FORECAST">FALSE</definedName>
    <definedName localSheetId="0" name="QBREPORTCOMPARECOL_GROSSMARGIN">FALSE</definedName>
    <definedName localSheetId="1" name="QBREPORTCOMPARECOL_GROSSMARGIN">FALSE</definedName>
    <definedName localSheetId="0" name="QBREPORTCOMPARECOL_GROSSMARGINPCT">FALSE</definedName>
    <definedName localSheetId="1" name="QBREPORTCOMPARECOL_GROSSMARGINPCT">FALSE</definedName>
    <definedName localSheetId="0" name="QBREPORTCOMPARECOL_HOURS">FALSE</definedName>
    <definedName localSheetId="1" name="QBREPORTCOMPARECOL_HOURS">FALSE</definedName>
    <definedName localSheetId="0" name="QBREPORTCOMPARECOL_PCTCOL">FALSE</definedName>
    <definedName localSheetId="1" name="QBREPORTCOMPARECOL_PCTCOL">FALSE</definedName>
    <definedName localSheetId="0" name="QBREPORTCOMPARECOL_PCTEXPENSE">FALSE</definedName>
    <definedName localSheetId="1" name="QBREPORTCOMPARECOL_PCTEXPENSE">FALSE</definedName>
    <definedName localSheetId="0" name="QBREPORTCOMPARECOL_PCTINCOME">FALSE</definedName>
    <definedName localSheetId="1" name="QBREPORTCOMPARECOL_PCTINCOME">FALSE</definedName>
    <definedName localSheetId="0" name="QBREPORTCOMPARECOL_PCTOFSALES">FALSE</definedName>
    <definedName localSheetId="1" name="QBREPORTCOMPARECOL_PCTOFSALES">FALSE</definedName>
    <definedName localSheetId="0" name="QBREPORTCOMPARECOL_PCTROW">FALSE</definedName>
    <definedName localSheetId="1" name="QBREPORTCOMPARECOL_PCTROW">FALSE</definedName>
    <definedName localSheetId="0" name="QBREPORTCOMPARECOL_PPDIFF">FALSE</definedName>
    <definedName localSheetId="1" name="QBREPORTCOMPARECOL_PPDIFF">FALSE</definedName>
    <definedName localSheetId="0" name="QBREPORTCOMPARECOL_PPPCT">FALSE</definedName>
    <definedName localSheetId="1" name="QBREPORTCOMPARECOL_PPPCT">FALSE</definedName>
    <definedName localSheetId="0" name="QBREPORTCOMPARECOL_PREVPERIOD">FALSE</definedName>
    <definedName localSheetId="1" name="QBREPORTCOMPARECOL_PREVPERIOD">FALSE</definedName>
    <definedName localSheetId="0" name="QBREPORTCOMPARECOL_PREVYEAR">FALSE</definedName>
    <definedName localSheetId="1" name="QBREPORTCOMPARECOL_PREVYEAR">FALSE</definedName>
    <definedName localSheetId="0" name="QBREPORTCOMPARECOL_PYDIFF">FALSE</definedName>
    <definedName localSheetId="1" name="QBREPORTCOMPARECOL_PYDIFF">FALSE</definedName>
    <definedName localSheetId="0" name="QBREPORTCOMPARECOL_PYPCT">FALSE</definedName>
    <definedName localSheetId="1" name="QBREPORTCOMPARECOL_PYPCT">FALSE</definedName>
    <definedName localSheetId="0" name="QBREPORTCOMPARECOL_QTY">FALSE</definedName>
    <definedName localSheetId="1" name="QBREPORTCOMPARECOL_QTY">FALSE</definedName>
    <definedName localSheetId="0" name="QBREPORTCOMPARECOL_RATE">FALSE</definedName>
    <definedName localSheetId="1" name="QBREPORTCOMPARECOL_RATE">FALSE</definedName>
    <definedName localSheetId="0" name="QBREPORTCOMPARECOL_TRIPBILLEDMILES">FALSE</definedName>
    <definedName localSheetId="1" name="QBREPORTCOMPARECOL_TRIPBILLEDMILES">FALSE</definedName>
    <definedName localSheetId="0" name="QBREPORTCOMPARECOL_TRIPBILLINGAMOUNT">FALSE</definedName>
    <definedName localSheetId="1" name="QBREPORTCOMPARECOL_TRIPBILLINGAMOUNT">FALSE</definedName>
    <definedName localSheetId="0" name="QBREPORTCOMPARECOL_TRIPMILES">FALSE</definedName>
    <definedName localSheetId="1" name="QBREPORTCOMPARECOL_TRIPMILES">FALSE</definedName>
    <definedName localSheetId="0" name="QBREPORTCOMPARECOL_TRIPNOTBILLABLEMILES">FALSE</definedName>
    <definedName localSheetId="1" name="QBREPORTCOMPARECOL_TRIPNOTBILLABLEMILES">FALSE</definedName>
    <definedName localSheetId="0" name="QBREPORTCOMPARECOL_TRIPTAXDEDUCTIBLEAMOUNT">FALSE</definedName>
    <definedName localSheetId="1" name="QBREPORTCOMPARECOL_TRIPTAXDEDUCTIBLEAMOUNT">FALSE</definedName>
    <definedName localSheetId="0" name="QBREPORTCOMPARECOL_TRIPUNBILLEDMILES">FALSE</definedName>
    <definedName localSheetId="1" name="QBREPORTCOMPARECOL_TRIPUNBILLEDMILES">FALSE</definedName>
    <definedName localSheetId="0" name="QBREPORTCOMPARECOL_YTD">FALSE</definedName>
    <definedName localSheetId="1" name="QBREPORTCOMPARECOL_YTD">FALSE</definedName>
    <definedName localSheetId="0" name="QBREPORTCOMPARECOL_YTDBUDGET">FALSE</definedName>
    <definedName localSheetId="1" name="QBREPORTCOMPARECOL_YTDBUDGET">FALSE</definedName>
    <definedName localSheetId="0" name="QBREPORTCOMPARECOL_YTDPCT">FALSE</definedName>
    <definedName localSheetId="1" name="QBREPORTCOMPARECOL_YTDPCT">FALSE</definedName>
    <definedName localSheetId="0" name="QBREPORTROWAXIS">11</definedName>
    <definedName localSheetId="1" name="QBREPORTROWAXIS">11</definedName>
    <definedName localSheetId="0" name="QBREPORTSUBCOLAXIS">0</definedName>
    <definedName localSheetId="1" name="QBREPORTSUBCOLAXIS">0</definedName>
    <definedName localSheetId="0" name="QBREPORTTYPE">0</definedName>
    <definedName localSheetId="1" name="QBREPORTTYPE">0</definedName>
    <definedName localSheetId="0" name="QBROWHEADERS">9</definedName>
    <definedName localSheetId="1" name="QBROWHEADERS">9</definedName>
    <definedName localSheetId="0" name="QBSTARTDATE">20230901</definedName>
    <definedName localSheetId="1" name="QBSTARTDATE">20230901</definedName>
    <definedName localSheetId="0" name="QB_ROW_310260">'P&amp;L'!$G$155</definedName>
    <definedName localSheetId="0" name="QB_ROW_454040">'P&amp;L'!$E$56</definedName>
    <definedName localSheetId="0" name="QB_ROW_18301">'P&amp;L'!$A$175</definedName>
    <definedName localSheetId="0" name="QB_ROW_388350">'P&amp;L'!$F$103</definedName>
    <definedName localSheetId="0" name="QB_COLUMN_2930">'P&amp;L'!$V$1</definedName>
    <definedName localSheetId="0" name="QB_ROW_453340">'P&amp;L'!$E$22</definedName>
    <definedName localSheetId="0" name="QB_ROW_388050">'P&amp;L'!$F$98</definedName>
    <definedName localSheetId="0" name="QB_ROW_86321">'P&amp;L'!$C$64</definedName>
    <definedName localSheetId="0" name="QB_ROW_225260">'P&amp;L'!$G$87</definedName>
    <definedName localSheetId="0" name="QB_ROW_150250">'P&amp;L'!$F$81</definedName>
    <definedName localSheetId="0" name="QB_ROW_21031">'P&amp;L'!$D$65</definedName>
    <definedName localSheetId="0" name="QB_ROW_460340">'P&amp;L'!$E$117</definedName>
    <definedName localSheetId="0" name="QB_ROW_214260">'P&amp;L'!$G$138</definedName>
    <definedName localSheetId="0" name="QB_ROW_22311">'P&amp;L'!$B$174</definedName>
    <definedName localSheetId="0" name="QB_ROW_136050">'P&amp;L'!$F$57</definedName>
    <definedName localSheetId="0" name="QB_ROW_183260">'P&amp;L'!$G$99</definedName>
    <definedName localSheetId="0" name="QB_ROW_24321">'P&amp;L'!$C$173</definedName>
    <definedName localSheetId="0" name="QB_ROW_152360">'P&amp;L'!$G$37</definedName>
    <definedName localSheetId="0" name="QB_ROW_186260">'P&amp;L'!$G$100</definedName>
    <definedName localSheetId="0" name="QB_ROW_111260">'P&amp;L'!$G$12</definedName>
    <definedName localSheetId="0" name="QB_ROW_107260">'P&amp;L'!$G$6</definedName>
    <definedName localSheetId="0" name="QB_ROW_238260">'P&amp;L'!$G$102</definedName>
    <definedName localSheetId="0" name="QB_ROW_288260">'P&amp;L'!$G$60</definedName>
    <definedName localSheetId="0" name="QB_ROW_464040">'P&amp;L'!$E$105</definedName>
    <definedName localSheetId="0" name="QB_ROW_187050">'P&amp;L'!$F$131</definedName>
    <definedName localSheetId="0" name="QB_ROW_23021">'P&amp;L'!$C$165</definedName>
    <definedName localSheetId="0" name="QB_ROW_219350">'P&amp;L'!$F$90</definedName>
    <definedName localSheetId="0" name="QB_ROW_106350">'P&amp;L'!$F$18</definedName>
    <definedName localSheetId="0" name="QB_ROW_23321">'P&amp;L'!$C$167</definedName>
    <definedName localSheetId="0" name="QB_ROW_229350">'P&amp;L'!$F$152</definedName>
    <definedName localSheetId="0" name="QB_ROW_233260">'P&amp;L'!$G$143</definedName>
    <definedName localSheetId="0" name="QB_ROW_326260">'P&amp;L'!$G$107</definedName>
    <definedName localSheetId="0" name="QB_ROW_170260">'P&amp;L'!$G$121</definedName>
    <definedName localSheetId="0" name="QB_ROW_233050">'P&amp;L'!$F$140</definedName>
    <definedName localSheetId="0" name="QB_ROW_195260">'P&amp;L'!$G$52</definedName>
    <definedName localSheetId="0" name="QB_ROW_390260">'P&amp;L'!$G$53</definedName>
    <definedName localSheetId="0" name="QB_ROW_20331">'P&amp;L'!$D$28</definedName>
    <definedName localSheetId="0" name="QB_COLUMN_2921">'P&amp;L'!$J$1</definedName>
    <definedName localSheetId="0" name="QB_ROW_87331">'P&amp;L'!$D$63</definedName>
    <definedName localSheetId="0" name="QB_ROW_178260">'P&amp;L'!$G$78</definedName>
    <definedName localSheetId="0" name="QB_ROW_346350">'P&amp;L'!$F$21</definedName>
    <definedName localSheetId="0" name="QB_ROW_185260">'P&amp;L'!$G$69</definedName>
    <definedName localSheetId="0" name="QB_ROW_173260">'P&amp;L'!$G$124</definedName>
    <definedName localSheetId="0" name="QB_ROW_251230">'P&amp;L'!$D$170</definedName>
    <definedName localSheetId="0" name="QB_ROW_454340">'P&amp;L'!$E$62</definedName>
    <definedName localSheetId="0" name="QB_ROW_455040">'P&amp;L'!$E$30</definedName>
    <definedName localSheetId="0" name="QB_ROW_194270">'P&amp;L'!$H$45</definedName>
    <definedName localSheetId="0" name="QB_COLUMN_2928">'P&amp;L'!$Q$1</definedName>
    <definedName localSheetId="0" name="QB_ROW_145350">'P&amp;L'!$F$95</definedName>
    <definedName localSheetId="0" name="QB_ROW_456040">'P&amp;L'!$E$83</definedName>
    <definedName localSheetId="0" name="QB_ROW_230260">'P&amp;L'!$G$149</definedName>
    <definedName localSheetId="0" name="QB_ROW_110260">'P&amp;L'!$G$10</definedName>
    <definedName localSheetId="0" name="QB_ROW_142260">'P&amp;L'!$G$158</definedName>
    <definedName localSheetId="0" name="QB_ROW_486230">'P&amp;L'!$D$166</definedName>
    <definedName localSheetId="0" name="QB_ROW_158270">'P&amp;L'!$H$35</definedName>
    <definedName localSheetId="0" name="QB_ROW_114350">'P&amp;L'!$F$26</definedName>
    <definedName localSheetId="0" name="QB_ROW_294370">'P&amp;L'!$H$49</definedName>
    <definedName localSheetId="0" name="QB_COLUMN_2923">'P&amp;L'!$L$1</definedName>
    <definedName localSheetId="0" name="QB_ROW_156270">'P&amp;L'!$H$34</definedName>
    <definedName localSheetId="0" name="QB_ROW_459040">'P&amp;L'!$E$66</definedName>
    <definedName localSheetId="0" name="QB_ROW_456340">'P&amp;L'!$E$96</definedName>
    <definedName localSheetId="0" name="QB_COLUMN_2926">'P&amp;L'!$O$1</definedName>
    <definedName localSheetId="0" name="QB_ROW_168050">'P&amp;L'!$F$119</definedName>
    <definedName localSheetId="0" name="QB_ROW_358270">'P&amp;L'!$H$39</definedName>
    <definedName localSheetId="0" name="QB_ROW_175260">'P&amp;L'!$G$79</definedName>
    <definedName localSheetId="0" name="QB_ROW_278260">'P&amp;L'!$G$17</definedName>
    <definedName localSheetId="0" name="QB_ROW_464340">'P&amp;L'!$E$110</definedName>
    <definedName localSheetId="0" name="QB_ROW_220260">'P&amp;L'!$G$85</definedName>
    <definedName localSheetId="0" name="QB_ROW_136350">'P&amp;L'!$F$61</definedName>
    <definedName localSheetId="0" name="QB_ROW_394260">'P&amp;L'!$G$11</definedName>
    <definedName localSheetId="0" name="QB_ROW_382260">'P&amp;L'!$G$72</definedName>
    <definedName localSheetId="0" name="QB_ROW_175050">'P&amp;L'!$F$76</definedName>
    <definedName localSheetId="0" name="QB_ROW_283280">'P&amp;L'!$I$47</definedName>
    <definedName localSheetId="0" name="QB_ROW_149230">'P&amp;L'!$D$171</definedName>
    <definedName localSheetId="0" name="QB_ROW_461340">'P&amp;L'!$E$104</definedName>
    <definedName localSheetId="0" name="QB_ROW_138260">'P&amp;L'!$G$159</definedName>
    <definedName localSheetId="0" name="QB_ROW_386360">'P&amp;L'!$G$51</definedName>
    <definedName localSheetId="0" name="QB_ROW_138050">'P&amp;L'!$F$153</definedName>
    <definedName localSheetId="0" name="QB_ROW_212050">'P&amp;L'!$F$136</definedName>
    <definedName localSheetId="0" name="QB_COLUMN_29210">'P&amp;L'!$S$1</definedName>
    <definedName localSheetId="0" name="QB_ROW_274260">'P&amp;L'!$G$132</definedName>
    <definedName localSheetId="0" name="QB_ROW_293260">'P&amp;L'!$G$15</definedName>
    <definedName localSheetId="0" name="QB_ROW_184260">'P&amp;L'!$G$68</definedName>
    <definedName localSheetId="0" name="QB_ROW_233350">'P&amp;L'!$F$144</definedName>
    <definedName localSheetId="0" name="QB_ROW_114050">'P&amp;L'!$F$24</definedName>
    <definedName localSheetId="0" name="QB_ROW_171260">'P&amp;L'!$G$122</definedName>
    <definedName localSheetId="0" name="QB_ROW_208260">'P&amp;L'!$G$115</definedName>
    <definedName localSheetId="0" name="QB_ROW_277260">'P&amp;L'!$G$13</definedName>
    <definedName localSheetId="0" name="QB_ROW_457040">'P&amp;L'!$E$118</definedName>
    <definedName localSheetId="0" name="QB_ROW_174260">'P&amp;L'!$G$125</definedName>
    <definedName localSheetId="0" name="QB_ROW_108260">'P&amp;L'!$G$7</definedName>
    <definedName localSheetId="0" name="QB_ROW_154270">'P&amp;L'!$H$33</definedName>
    <definedName localSheetId="0" name="QB_ROW_197270">'P&amp;L'!$H$41</definedName>
    <definedName localSheetId="0" name="QB_ROW_199270">'P&amp;L'!$H$44</definedName>
    <definedName localSheetId="0" name="QB_ROW_196270">'P&amp;L'!$H$42</definedName>
    <definedName localSheetId="0" name="QB_COLUMN_2927">'P&amp;L'!$P$1</definedName>
    <definedName localSheetId="0" name="QB_ROW_232260">'P&amp;L'!$G$150</definedName>
    <definedName localSheetId="0" name="QB_ROW_20031">'P&amp;L'!$D$3</definedName>
    <definedName localSheetId="0" name="QB_ROW_463040">'P&amp;L'!$E$146</definedName>
    <definedName localSheetId="0" name="QB_ROW_385350">'P&amp;L'!$F$109</definedName>
    <definedName localSheetId="0" name="QB_ROW_291260">'P&amp;L'!$G$20</definedName>
    <definedName localSheetId="0" name="QB_ROW_385050">'P&amp;L'!$F$106</definedName>
    <definedName localSheetId="0" name="QB_COLUMN_2925">'P&amp;L'!$N$1</definedName>
    <definedName localSheetId="0" name="QB_ROW_460040">'P&amp;L'!$E$111</definedName>
    <definedName localSheetId="0" name="QB_ROW_222260">'P&amp;L'!$G$86</definedName>
    <definedName localSheetId="0" name="QB_ROW_457340">'P&amp;L'!$E$128</definedName>
    <definedName localSheetId="0" name="QB_ROW_462340">'P&amp;L'!$E$27</definedName>
    <definedName localSheetId="0" name="QB_ROW_166230">'P&amp;L'!$D$172</definedName>
    <definedName localSheetId="0" name="QB_ROW_22011">'P&amp;L'!$B$164</definedName>
    <definedName localSheetId="0" name="QB_ROW_206260">'P&amp;L'!$G$114</definedName>
    <definedName localSheetId="0" name="QB_ROW_227260">'P&amp;L'!$G$88</definedName>
    <definedName localSheetId="0" name="QB_ROW_205260">'P&amp;L'!$G$113</definedName>
    <definedName localSheetId="0" name="QB_ROW_229050">'P&amp;L'!$F$147</definedName>
    <definedName localSheetId="0" name="QB_ROW_458340">'P&amp;L'!$E$145</definedName>
    <definedName localSheetId="0" name="QB_ROW_175350">'P&amp;L'!$F$80</definedName>
    <definedName localSheetId="0" name="QB_ROW_240260">'P&amp;L'!$G$142</definedName>
    <definedName localSheetId="0" name="QB_ROW_346050">'P&amp;L'!$F$19</definedName>
    <definedName localSheetId="0" name="QB_ROW_189260">'P&amp;L'!$G$59</definedName>
    <definedName localSheetId="0" name="QB_ROW_168260">'P&amp;L'!$G$126</definedName>
    <definedName localSheetId="0" name="QB_ROW_180050">'P&amp;L'!$F$67</definedName>
    <definedName localSheetId="0" name="QB_ROW_234260">'P&amp;L'!$G$141</definedName>
    <definedName localSheetId="0" name="QB_ROW_393260">'P&amp;L'!$G$9</definedName>
    <definedName localSheetId="0" name="QB_ROW_459340">'P&amp;L'!$E$82</definedName>
    <definedName localSheetId="0" name="QB_ROW_115260">'P&amp;L'!$G$25</definedName>
    <definedName localSheetId="0" name="QB_ROW_159270">'P&amp;L'!$H$36</definedName>
    <definedName localSheetId="0" name="QB_ROW_204350">'P&amp;L'!$F$116</definedName>
    <definedName localSheetId="0" name="QB_ROW_213260">'P&amp;L'!$G$137</definedName>
    <definedName localSheetId="0" name="QB_ROW_160050">'P&amp;L'!$F$71</definedName>
    <definedName localSheetId="0" name="QB_ROW_106050">'P&amp;L'!$F$5</definedName>
    <definedName localSheetId="0" name="QB_ROW_395260">'P&amp;L'!$G$16</definedName>
    <definedName localSheetId="0" name="QB_ROW_87031">'P&amp;L'!$D$29</definedName>
    <definedName localSheetId="0" name="QB_ROW_209350">'P&amp;L'!$F$130</definedName>
    <definedName localSheetId="0" name="QB_ROW_172260">'P&amp;L'!$G$123</definedName>
    <definedName localSheetId="0" name="QB_ROW_161260">'P&amp;L'!$G$73</definedName>
    <definedName localSheetId="0" name="QB_ROW_19311">'P&amp;L'!$B$163</definedName>
    <definedName localSheetId="0" name="QB_ROW_138350">'P&amp;L'!$F$160</definedName>
    <definedName localSheetId="0" name="QB_COLUMN_2924">'P&amp;L'!$M$1</definedName>
    <definedName localSheetId="0" name="QB_ROW_188260">'P&amp;L'!$G$133</definedName>
    <definedName localSheetId="0" name="QB_ROW_24021">'P&amp;L'!$C$168</definedName>
    <definedName localSheetId="0" name="QB_ROW_148260">'P&amp;L'!$G$94</definedName>
    <definedName localSheetId="0" name="QB_ROW_204050">'P&amp;L'!$F$112</definedName>
    <definedName localSheetId="0" name="QB_ROW_294070">'P&amp;L'!$H$46</definedName>
    <definedName localSheetId="0" name="QB_ROW_396350">'P&amp;L'!$F$54</definedName>
    <definedName localSheetId="0" name="QB_ROW_453040">'P&amp;L'!$E$4</definedName>
    <definedName localSheetId="0" name="QB_COLUMN_29211">'P&amp;L'!$T$1</definedName>
    <definedName localSheetId="0" name="QB_ROW_212350">'P&amp;L'!$F$139</definedName>
    <definedName localSheetId="0" name="QB_ROW_361260">'P&amp;L'!$G$58</definedName>
    <definedName localSheetId="0" name="QB_ROW_163260">'P&amp;L'!$G$74</definedName>
    <definedName localSheetId="0" name="QB_ROW_219050">'P&amp;L'!$F$84</definedName>
    <definedName localSheetId="0" name="QB_ROW_146260">'P&amp;L'!$G$92</definedName>
    <definedName localSheetId="0" name="QB_ROW_345260">'P&amp;L'!$G$154</definedName>
    <definedName localSheetId="0" name="QB_COLUMN_2929">'P&amp;L'!$R$1</definedName>
    <definedName localSheetId="0" name="QB_ROW_160350">'P&amp;L'!$F$75</definedName>
    <definedName localSheetId="0" name="QB_ROW_396050">'P&amp;L'!$F$31</definedName>
    <definedName localSheetId="0" name="QB_ROW_109260">'P&amp;L'!$G$8</definedName>
    <definedName localSheetId="0" name="QB_ROW_461040">'P&amp;L'!$E$97</definedName>
    <definedName localSheetId="0" name="QB_ROW_294280">'P&amp;L'!$I$48</definedName>
    <definedName localSheetId="0" name="QB_ROW_325270">'P&amp;L'!$H$43</definedName>
    <definedName localSheetId="0" name="QB_ROW_190260">'P&amp;L'!$G$134</definedName>
    <definedName localSheetId="0" name="QB_ROW_458040">'P&amp;L'!$E$129</definedName>
    <definedName localSheetId="0" name="QB_ROW_187350">'P&amp;L'!$F$135</definedName>
    <definedName localSheetId="0" name="QB_ROW_344260">'P&amp;L'!$G$14</definedName>
    <definedName localSheetId="0" name="QB_ROW_229260">'P&amp;L'!$G$151</definedName>
    <definedName localSheetId="0" name="QB_ROW_19011">'P&amp;L'!$B$2</definedName>
    <definedName localSheetId="0" name="QB_ROW_386060">'P&amp;L'!$G$38</definedName>
    <definedName localSheetId="0" name="QB_ROW_21331">'P&amp;L'!$D$162</definedName>
    <definedName localSheetId="0" name="QB_COLUMN_2922">'P&amp;L'!$K$1</definedName>
    <definedName localSheetId="0" name="QB_ROW_224260">'P&amp;L'!$G$108</definedName>
    <definedName localSheetId="0" name="QB_ROW_201270">'P&amp;L'!$H$40</definedName>
    <definedName localSheetId="0" name="QB_ROW_258260">'P&amp;L'!$G$89</definedName>
    <definedName localSheetId="0" name="QB_ROW_198270">'P&amp;L'!$H$50</definedName>
    <definedName localSheetId="0" name="QB_ROW_152060">'P&amp;L'!$G$32</definedName>
    <definedName localSheetId="0" name="QB_ROW_176260">'P&amp;L'!$G$77</definedName>
    <definedName localSheetId="0" name="QB_ROW_455340">'P&amp;L'!$E$55</definedName>
    <definedName localSheetId="0" name="QB_ROW_147260">'P&amp;L'!$G$93</definedName>
    <definedName localSheetId="0" name="QB_ROW_140260">'P&amp;L'!$G$157</definedName>
    <definedName localSheetId="0" name="QB_ROW_463340">'P&amp;L'!$E$161</definedName>
    <definedName localSheetId="0" name="QB_ROW_363230">'P&amp;L'!$D$169</definedName>
    <definedName localSheetId="0" name="QB_ROW_462040">'P&amp;L'!$E$23</definedName>
    <definedName localSheetId="0" name="QB_ROW_145050">'P&amp;L'!$F$91</definedName>
    <definedName localSheetId="0" name="QB_COLUMN_29212">'P&amp;L'!$U$1</definedName>
    <definedName localSheetId="0" name="QB_ROW_169260">'P&amp;L'!$G$120</definedName>
    <definedName localSheetId="0" name="QB_ROW_180350">'P&amp;L'!$F$70</definedName>
    <definedName localSheetId="0" name="QB_ROW_302260">'P&amp;L'!$G$148</definedName>
    <definedName localSheetId="0" name="QB_ROW_270260">'P&amp;L'!$G$156</definedName>
    <definedName localSheetId="0" name="QB_ROW_168350">'P&amp;L'!$F$127</definedName>
    <definedName localSheetId="0" name="QB_ROW_211260">'P&amp;L'!$G$101</definedName>
  </definedNames>
  <calcPr/>
  <extLst>
    <ext uri="GoogleSheetsCustomDataVersion2">
      <go:sheetsCustomData xmlns:go="http://customooxmlschemas.google.com/" r:id="rId5" roundtripDataChecksum="GJbssxNqwI4QfSd8lnrC5NblwWhoSFqFCi0oCQzscpA="/>
    </ext>
  </extLst>
</workbook>
</file>

<file path=xl/sharedStrings.xml><?xml version="1.0" encoding="utf-8"?>
<sst xmlns="http://schemas.openxmlformats.org/spreadsheetml/2006/main" count="187" uniqueCount="187">
  <si>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</si>
  <si>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</si>
  <si>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</si>
  <si>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</si>
  <si>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</si>
  <si>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</si>
  <si>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</si>
  <si>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</si>
  <si>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</si>
  <si>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</si>
  <si>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</si>
  <si>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</si>
  <si>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TOTAL</t>
  </si>
  <si>
    <t>Ordinary Income/Expense</t>
  </si>
  <si>
    <t>Income</t>
  </si>
  <si>
    <t>Service Revenue</t>
  </si>
  <si>
    <t>400.00 · Services Revenue</t>
  </si>
  <si>
    <t>400.02 · Boarding &amp; Petsitting</t>
  </si>
  <si>
    <t>400.04 · Daycare &amp; Adventures</t>
  </si>
  <si>
    <t>400.06 · Grooming</t>
  </si>
  <si>
    <t>400.07 · After Hours/Holiday Fees</t>
  </si>
  <si>
    <t>400.08 · Dog Transport</t>
  </si>
  <si>
    <t>400.09 · DDL House Food/Kong/Ball</t>
  </si>
  <si>
    <t>400.10 · Training</t>
  </si>
  <si>
    <t>400.16 · Other Revenue</t>
  </si>
  <si>
    <t>400.18 · Evaluations</t>
  </si>
  <si>
    <t>400.20 · Walks Jogs</t>
  </si>
  <si>
    <t>400.21 · Reimbursed Expense Income</t>
  </si>
  <si>
    <t>400.28 · Uncategorized Revenue</t>
  </si>
  <si>
    <t>Total 400.00 · Services Revenue</t>
  </si>
  <si>
    <t>431.00 · Discounts</t>
  </si>
  <si>
    <t>431.02 · Service Discounts</t>
  </si>
  <si>
    <t>Total 431.00 · Discounts</t>
  </si>
  <si>
    <t>Total Service Revenue</t>
  </si>
  <si>
    <t>Product &amp; Other Revenue</t>
  </si>
  <si>
    <t>401.00 · Product Revenue</t>
  </si>
  <si>
    <t>401.02 · Retail</t>
  </si>
  <si>
    <t>Total 401.00 · Product Revenue</t>
  </si>
  <si>
    <t>Total Product &amp; Other Revenue</t>
  </si>
  <si>
    <t>Total Income</t>
  </si>
  <si>
    <t>Cost of Goods Sold</t>
  </si>
  <si>
    <t>Direct Labor, Benefits &amp; Taxes</t>
  </si>
  <si>
    <t>490.00 · Labor</t>
  </si>
  <si>
    <t>491.00 · Employee, Benefits, Uniform Etc</t>
  </si>
  <si>
    <t>491.10 · Employee Benefits - Healthcare</t>
  </si>
  <si>
    <t>491.16 · Employee Uniforms</t>
  </si>
  <si>
    <t>491.20 · Professional Development</t>
  </si>
  <si>
    <t>491.22 · Recruiting</t>
  </si>
  <si>
    <t>Total 491.00 · Employee, Benefits, Uniform Etc</t>
  </si>
  <si>
    <t>496.00 · Payroll - Direct</t>
  </si>
  <si>
    <t>496.02 · Bereavement</t>
  </si>
  <si>
    <t>496.03 · Bonus</t>
  </si>
  <si>
    <t>496.04 · Commissions</t>
  </si>
  <si>
    <t>496.08 · Groomer's Pay</t>
  </si>
  <si>
    <t>496.09 · Management</t>
  </si>
  <si>
    <t>496.12 · Holiday</t>
  </si>
  <si>
    <t>496.14 · Regular Pay</t>
  </si>
  <si>
    <t>496.17 · Tips Received</t>
  </si>
  <si>
    <t>496.18 · Tips Paid Out</t>
  </si>
  <si>
    <t>496.17 · Tips Received - Other</t>
  </si>
  <si>
    <t>Total 496.17 · Tips Received</t>
  </si>
  <si>
    <t>496.19 · Trainer</t>
  </si>
  <si>
    <t>Total 496.00 · Payroll - Direct</t>
  </si>
  <si>
    <t>497.00 · Overtime - Direct Payroll</t>
  </si>
  <si>
    <t>498.00 · Taxes - Direct Payroll</t>
  </si>
  <si>
    <t>Total 490.00 · Labor</t>
  </si>
  <si>
    <t>Total Direct Labor, Benefits &amp; Taxes</t>
  </si>
  <si>
    <t>Cost of Sales-Product/Supplies</t>
  </si>
  <si>
    <t>450.00 · Cost of Sales</t>
  </si>
  <si>
    <t>450.20 · Client Costs</t>
  </si>
  <si>
    <t>450.04 · Grooming supplies</t>
  </si>
  <si>
    <t>450.10 · Retail</t>
  </si>
  <si>
    <t>Total 450.00 · Cost of Sales</t>
  </si>
  <si>
    <t>Total Cost of Sales-Product/Supplies</t>
  </si>
  <si>
    <t>Total COGS</t>
  </si>
  <si>
    <t>Gross Profit</t>
  </si>
  <si>
    <t>Expense</t>
  </si>
  <si>
    <t>Administrative, Supplies, Other</t>
  </si>
  <si>
    <t>611.00 · Administrative Supplies &amp; Other</t>
  </si>
  <si>
    <t>611.06 · Office Supplies</t>
  </si>
  <si>
    <t>611.10 · Shipping and Handling</t>
  </si>
  <si>
    <t>Total 611.00 · Administrative Supplies &amp; Other</t>
  </si>
  <si>
    <t>612.00 · Insurance</t>
  </si>
  <si>
    <t>612.07 · Life</t>
  </si>
  <si>
    <t>612.02 · Auto</t>
  </si>
  <si>
    <t>612.06 · Liability Insurance</t>
  </si>
  <si>
    <t>Total 612.00 · Insurance</t>
  </si>
  <si>
    <t>590.00 · Meals &amp; Entertainment</t>
  </si>
  <si>
    <t>590.02 · Meals In house-100%</t>
  </si>
  <si>
    <t>590.06 · Meals &amp; Ent-50%</t>
  </si>
  <si>
    <t>590.00 · Meals &amp; Entertainment - Other</t>
  </si>
  <si>
    <t>Total 590.00 · Meals &amp; Entertainment</t>
  </si>
  <si>
    <t>536.00 · Dues and Subscriptions</t>
  </si>
  <si>
    <t>Total Administrative, Supplies, Other</t>
  </si>
  <si>
    <t>Bank Fees, Taxes &amp; Other Fees</t>
  </si>
  <si>
    <t>650.00 · Taxes - Business</t>
  </si>
  <si>
    <t>650.02 · City of Seattle</t>
  </si>
  <si>
    <t>650.06 · Licenses and Permits</t>
  </si>
  <si>
    <t>650.08 · Personal Property Taxes</t>
  </si>
  <si>
    <t>650.12 · State B and O</t>
  </si>
  <si>
    <t>650.14 · Use Tax</t>
  </si>
  <si>
    <t>Total 650.00 · Taxes - Business</t>
  </si>
  <si>
    <t>512.00 · Bank Charges</t>
  </si>
  <si>
    <t>512.02 · Bank fees</t>
  </si>
  <si>
    <t>512.04 · Credit Card Processing</t>
  </si>
  <si>
    <t>512.06 · Payroll Fees</t>
  </si>
  <si>
    <t>Total 512.00 · Bank Charges</t>
  </si>
  <si>
    <t>Total Bank Fees, Taxes &amp; Other Fees</t>
  </si>
  <si>
    <t>Communication &amp; Technology</t>
  </si>
  <si>
    <t>660.00 · Communication &amp; IT Services</t>
  </si>
  <si>
    <t>660.14 · Hardware Expense</t>
  </si>
  <si>
    <t>660.11 · Software Expense</t>
  </si>
  <si>
    <t>660.10 · IT/Website</t>
  </si>
  <si>
    <t>660.05 · Telephone</t>
  </si>
  <si>
    <t>Total 660.00 · Communication &amp; IT Services</t>
  </si>
  <si>
    <t>Total Communication &amp; Technology</t>
  </si>
  <si>
    <t>Indirect Payroll, Benefits, Tax</t>
  </si>
  <si>
    <t>630.00 · Payroll  - Indirect</t>
  </si>
  <si>
    <t>630.10 · Corporate</t>
  </si>
  <si>
    <t>630.40 · Taxes - Payroll - Indirect</t>
  </si>
  <si>
    <t>Total 630.00 · Payroll  - Indirect</t>
  </si>
  <si>
    <t>Total Indirect Payroll, Benefits, Tax</t>
  </si>
  <si>
    <t>Legal &amp; Professional Fees</t>
  </si>
  <si>
    <t>629.00 · Professional Fees</t>
  </si>
  <si>
    <t>629.02 · Accounting</t>
  </si>
  <si>
    <t>629.04 · Consulting</t>
  </si>
  <si>
    <t>629.08 · Legal</t>
  </si>
  <si>
    <t>Total 629.00 · Professional Fees</t>
  </si>
  <si>
    <t>Total Legal &amp; Professional Fees</t>
  </si>
  <si>
    <t>Marketing, Promotion</t>
  </si>
  <si>
    <t>605.00 · Marketing Expenses</t>
  </si>
  <si>
    <t>605.02 · Advertising</t>
  </si>
  <si>
    <t>605.04 · Booths, Shows and Parades</t>
  </si>
  <si>
    <t>605.06 · Internet Access and Hosting</t>
  </si>
  <si>
    <t>605.08 · Market Research</t>
  </si>
  <si>
    <t>605.10 · Printing and Reproduction</t>
  </si>
  <si>
    <t>605.12 · Promotional Giveaways</t>
  </si>
  <si>
    <t>605.00 · Marketing Expenses - Other</t>
  </si>
  <si>
    <t>Total 605.00 · Marketing Expenses</t>
  </si>
  <si>
    <t>Total Marketing, Promotion</t>
  </si>
  <si>
    <t>Occupancy &amp; Facility</t>
  </si>
  <si>
    <t>645.00 · Repairs &amp; Maintenance</t>
  </si>
  <si>
    <t>635.00 · Operating Supplies &amp; Other</t>
  </si>
  <si>
    <t>635.04 · Training Supplies</t>
  </si>
  <si>
    <t>635.08 · Cleaning Supplies</t>
  </si>
  <si>
    <t>635.10 · Operational Consumables</t>
  </si>
  <si>
    <t>Total 635.00 · Operating Supplies &amp; Other</t>
  </si>
  <si>
    <t>640.00 · Occupancy</t>
  </si>
  <si>
    <t>640.02 · NNN (Triple Net expenses)</t>
  </si>
  <si>
    <t>640.04 · Rent</t>
  </si>
  <si>
    <t>Total 640.00 · Occupancy</t>
  </si>
  <si>
    <t>665.00 · Utilities</t>
  </si>
  <si>
    <t>665.02 · Electric</t>
  </si>
  <si>
    <t>665.14 · Water</t>
  </si>
  <si>
    <t>665.00 · Utilities - Other</t>
  </si>
  <si>
    <t>Total 665.00 · Utilities</t>
  </si>
  <si>
    <t>Total Occupancy &amp; Facility</t>
  </si>
  <si>
    <t>Transportation &amp; Travel</t>
  </si>
  <si>
    <t>670.00 · Travel</t>
  </si>
  <si>
    <t>670.02 · Airfare</t>
  </si>
  <si>
    <t>670.06 · Hotel</t>
  </si>
  <si>
    <t>670.10 · Misc Travel</t>
  </si>
  <si>
    <t>670.00 · Travel - Other</t>
  </si>
  <si>
    <t>Total 670.00 · Travel</t>
  </si>
  <si>
    <t>510.00 · Automobile &amp; Mileage</t>
  </si>
  <si>
    <t>510.02 · Licensing</t>
  </si>
  <si>
    <t>510.04 · Repairs &amp; Maintenance</t>
  </si>
  <si>
    <t>510.06 · Gas</t>
  </si>
  <si>
    <t>510.09 · Mileage</t>
  </si>
  <si>
    <t>510.12 · Parking</t>
  </si>
  <si>
    <t>510.00 · Automobile &amp; Mileage - Other</t>
  </si>
  <si>
    <t>Total 510.00 · Automobile &amp; Mileage</t>
  </si>
  <si>
    <t>Total Transportation &amp; Travel</t>
  </si>
  <si>
    <t>Total Expense</t>
  </si>
  <si>
    <t>Net Ordinary Income</t>
  </si>
  <si>
    <t>Other Income/Expense</t>
  </si>
  <si>
    <t>Other Income</t>
  </si>
  <si>
    <t>805.00 · Other Income</t>
  </si>
  <si>
    <t>Total Other Income</t>
  </si>
  <si>
    <t>Other Expense</t>
  </si>
  <si>
    <t>900.00 · Payroll - Officer</t>
  </si>
  <si>
    <t>910.00 · Depreciation &amp; Amortization</t>
  </si>
  <si>
    <t>920.00 · Charitable Contributions</t>
  </si>
  <si>
    <t>930.00 · Interest Expense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</si>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</sst>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8.0"/>
      <color rgb="FF000000"/>
      <name val="Arial"/>
    </font>
    <font>
      <sz val="11.0"/>
      <color theme="1"/>
      <name val="Aptos Narrow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6">
    <border/>
    <border>
      <bottom style="thick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1" fillId="0" fontId="1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49" xfId="0" applyFont="1" applyNumberFormat="1"/>
    <xf borderId="0" fillId="0" fontId="3" numFmtId="39" xfId="0" applyFont="1" applyNumberFormat="1"/>
    <xf borderId="2" fillId="0" fontId="3" numFmtId="39" xfId="0" applyBorder="1" applyFont="1" applyNumberFormat="1"/>
    <xf borderId="3" fillId="0" fontId="3" numFmtId="39" xfId="0" applyBorder="1" applyFont="1" applyNumberFormat="1"/>
    <xf borderId="4" fillId="0" fontId="3" numFmtId="39" xfId="0" applyBorder="1" applyFont="1" applyNumberFormat="1"/>
    <xf borderId="5" fillId="0" fontId="1" numFmtId="39" xfId="0" applyBorder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28700" cy="219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0"/>
  <cols>
    <col customWidth="1" min="1" max="8" width="3.0"/>
    <col customWidth="1" min="9" max="9" width="32.63"/>
    <col customWidth="1" min="10" max="21" width="9.38"/>
    <col customWidth="1" min="22" max="22" width="10.5"/>
    <col customWidth="1" min="23" max="26" width="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3"/>
      <c r="X1" s="3"/>
      <c r="Y1" s="3"/>
      <c r="Z1" s="3"/>
    </row>
    <row r="2">
      <c r="A2" s="4"/>
      <c r="B2" s="4" t="s">
        <v>13</v>
      </c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4"/>
      <c r="B3" s="4"/>
      <c r="C3" s="4"/>
      <c r="D3" s="4" t="s">
        <v>14</v>
      </c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4"/>
      <c r="B4" s="4"/>
      <c r="C4" s="4"/>
      <c r="D4" s="4"/>
      <c r="E4" s="4" t="s">
        <v>15</v>
      </c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4"/>
      <c r="B5" s="4"/>
      <c r="C5" s="4"/>
      <c r="D5" s="4"/>
      <c r="E5" s="4"/>
      <c r="F5" s="4" t="s">
        <v>16</v>
      </c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4"/>
      <c r="B6" s="4"/>
      <c r="C6" s="4"/>
      <c r="D6" s="4"/>
      <c r="E6" s="4"/>
      <c r="F6" s="4"/>
      <c r="G6" s="4" t="s">
        <v>17</v>
      </c>
      <c r="H6" s="4"/>
      <c r="I6" s="4"/>
      <c r="J6" s="5">
        <v>95686.42</v>
      </c>
      <c r="K6" s="5">
        <v>106502.3</v>
      </c>
      <c r="L6" s="5">
        <v>108535.52</v>
      </c>
      <c r="M6" s="5">
        <v>102541.25</v>
      </c>
      <c r="N6" s="5">
        <v>86372.03</v>
      </c>
      <c r="O6" s="5">
        <v>77459.69</v>
      </c>
      <c r="P6" s="5">
        <v>88580.61</v>
      </c>
      <c r="Q6" s="5">
        <v>106815.11</v>
      </c>
      <c r="R6" s="5">
        <v>111503.56</v>
      </c>
      <c r="S6" s="5">
        <v>97841.32</v>
      </c>
      <c r="T6" s="5">
        <v>135099.68</v>
      </c>
      <c r="U6" s="5">
        <v>127221.12</v>
      </c>
      <c r="V6" s="5">
        <f t="shared" ref="V6:V18" si="1">ROUND(SUM(J6:U6),5)</f>
        <v>1244158.61</v>
      </c>
    </row>
    <row r="7">
      <c r="A7" s="4"/>
      <c r="B7" s="4"/>
      <c r="C7" s="4"/>
      <c r="D7" s="4"/>
      <c r="E7" s="4"/>
      <c r="F7" s="4"/>
      <c r="G7" s="4" t="s">
        <v>18</v>
      </c>
      <c r="H7" s="4"/>
      <c r="I7" s="4"/>
      <c r="J7" s="5">
        <v>55311.72</v>
      </c>
      <c r="K7" s="5">
        <v>61371.02</v>
      </c>
      <c r="L7" s="5">
        <v>51516.64</v>
      </c>
      <c r="M7" s="5">
        <v>37064.98</v>
      </c>
      <c r="N7" s="5">
        <v>49507.4</v>
      </c>
      <c r="O7" s="5">
        <v>59916.21</v>
      </c>
      <c r="P7" s="5">
        <v>42884.12</v>
      </c>
      <c r="Q7" s="5">
        <v>58619.3</v>
      </c>
      <c r="R7" s="5">
        <v>61671.14</v>
      </c>
      <c r="S7" s="5">
        <v>46353.9</v>
      </c>
      <c r="T7" s="5">
        <v>55159.31</v>
      </c>
      <c r="U7" s="5">
        <v>47330.19</v>
      </c>
      <c r="V7" s="5">
        <f t="shared" si="1"/>
        <v>626705.93</v>
      </c>
    </row>
    <row r="8">
      <c r="A8" s="4"/>
      <c r="B8" s="4"/>
      <c r="C8" s="4"/>
      <c r="D8" s="4"/>
      <c r="E8" s="4"/>
      <c r="F8" s="4"/>
      <c r="G8" s="4" t="s">
        <v>19</v>
      </c>
      <c r="H8" s="4"/>
      <c r="I8" s="4"/>
      <c r="J8" s="5">
        <v>36990.5</v>
      </c>
      <c r="K8" s="5">
        <v>34265.45</v>
      </c>
      <c r="L8" s="5">
        <v>34726.0</v>
      </c>
      <c r="M8" s="5">
        <v>34031.0</v>
      </c>
      <c r="N8" s="5">
        <v>30196.75</v>
      </c>
      <c r="O8" s="5">
        <v>34828.0</v>
      </c>
      <c r="P8" s="5">
        <v>41539.8</v>
      </c>
      <c r="Q8" s="5">
        <v>45271.2</v>
      </c>
      <c r="R8" s="5">
        <v>42391.2</v>
      </c>
      <c r="S8" s="5">
        <v>43714.8</v>
      </c>
      <c r="T8" s="5">
        <v>45146.45</v>
      </c>
      <c r="U8" s="5">
        <v>42533.13</v>
      </c>
      <c r="V8" s="5">
        <f t="shared" si="1"/>
        <v>465634.28</v>
      </c>
    </row>
    <row r="9">
      <c r="A9" s="4"/>
      <c r="B9" s="4"/>
      <c r="C9" s="4"/>
      <c r="D9" s="4"/>
      <c r="E9" s="4"/>
      <c r="F9" s="4"/>
      <c r="G9" s="4" t="s">
        <v>20</v>
      </c>
      <c r="H9" s="4"/>
      <c r="I9" s="4"/>
      <c r="J9" s="5">
        <v>2016.6</v>
      </c>
      <c r="K9" s="5">
        <v>2584.85</v>
      </c>
      <c r="L9" s="5">
        <v>1182.4</v>
      </c>
      <c r="M9" s="5">
        <v>945.83</v>
      </c>
      <c r="N9" s="5">
        <v>864.1</v>
      </c>
      <c r="O9" s="5">
        <v>769.75</v>
      </c>
      <c r="P9" s="5">
        <v>1576.06</v>
      </c>
      <c r="Q9" s="5">
        <v>908.85</v>
      </c>
      <c r="R9" s="5">
        <v>1439.94</v>
      </c>
      <c r="S9" s="5">
        <v>1239.14</v>
      </c>
      <c r="T9" s="5">
        <v>1261.6</v>
      </c>
      <c r="U9" s="5">
        <v>1278.25</v>
      </c>
      <c r="V9" s="5">
        <f t="shared" si="1"/>
        <v>16067.37</v>
      </c>
    </row>
    <row r="10">
      <c r="A10" s="4"/>
      <c r="B10" s="4"/>
      <c r="C10" s="4"/>
      <c r="D10" s="4"/>
      <c r="E10" s="4"/>
      <c r="F10" s="4"/>
      <c r="G10" s="4" t="s">
        <v>21</v>
      </c>
      <c r="H10" s="4"/>
      <c r="I10" s="4"/>
      <c r="J10" s="5">
        <v>0.0</v>
      </c>
      <c r="K10" s="5">
        <v>0.0</v>
      </c>
      <c r="L10" s="5">
        <v>146.25</v>
      </c>
      <c r="M10" s="5">
        <v>225.0</v>
      </c>
      <c r="N10" s="5">
        <v>0.0</v>
      </c>
      <c r="O10" s="5">
        <v>0.0</v>
      </c>
      <c r="P10" s="5">
        <v>75.0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f t="shared" si="1"/>
        <v>446.25</v>
      </c>
    </row>
    <row r="11">
      <c r="A11" s="4"/>
      <c r="B11" s="4"/>
      <c r="C11" s="4"/>
      <c r="D11" s="4"/>
      <c r="E11" s="4"/>
      <c r="F11" s="4"/>
      <c r="G11" s="4" t="s">
        <v>22</v>
      </c>
      <c r="H11" s="4"/>
      <c r="I11" s="4"/>
      <c r="J11" s="5">
        <v>1917.25</v>
      </c>
      <c r="K11" s="5">
        <v>2223.95</v>
      </c>
      <c r="L11" s="5">
        <v>2714.25</v>
      </c>
      <c r="M11" s="5">
        <v>1849.15</v>
      </c>
      <c r="N11" s="5">
        <v>1434.75</v>
      </c>
      <c r="O11" s="5">
        <v>2194.5</v>
      </c>
      <c r="P11" s="5">
        <v>1926.25</v>
      </c>
      <c r="Q11" s="5">
        <v>3168.0</v>
      </c>
      <c r="R11" s="5">
        <v>1980.0</v>
      </c>
      <c r="S11" s="5">
        <v>1676.45</v>
      </c>
      <c r="T11" s="5">
        <v>2470.8</v>
      </c>
      <c r="U11" s="5">
        <v>2094.2</v>
      </c>
      <c r="V11" s="5">
        <f t="shared" si="1"/>
        <v>25649.55</v>
      </c>
    </row>
    <row r="12">
      <c r="A12" s="4"/>
      <c r="B12" s="4"/>
      <c r="C12" s="4"/>
      <c r="D12" s="4"/>
      <c r="E12" s="4"/>
      <c r="F12" s="4"/>
      <c r="G12" s="4" t="s">
        <v>23</v>
      </c>
      <c r="H12" s="4"/>
      <c r="I12" s="4"/>
      <c r="J12" s="5">
        <v>569.0</v>
      </c>
      <c r="K12" s="5">
        <v>718.25</v>
      </c>
      <c r="L12" s="5">
        <v>1235.0</v>
      </c>
      <c r="M12" s="5">
        <v>450.0</v>
      </c>
      <c r="N12" s="5">
        <v>570.0</v>
      </c>
      <c r="O12" s="5">
        <v>0.0</v>
      </c>
      <c r="P12" s="5">
        <v>1248.0</v>
      </c>
      <c r="Q12" s="5">
        <v>650.0</v>
      </c>
      <c r="R12" s="5">
        <v>455.75</v>
      </c>
      <c r="S12" s="5">
        <v>1882.4</v>
      </c>
      <c r="T12" s="5">
        <v>971.94</v>
      </c>
      <c r="U12" s="5">
        <v>886.0</v>
      </c>
      <c r="V12" s="5">
        <f t="shared" si="1"/>
        <v>9636.34</v>
      </c>
    </row>
    <row r="13">
      <c r="A13" s="4"/>
      <c r="B13" s="4"/>
      <c r="C13" s="4"/>
      <c r="D13" s="4"/>
      <c r="E13" s="4"/>
      <c r="F13" s="4"/>
      <c r="G13" s="4" t="s">
        <v>24</v>
      </c>
      <c r="H13" s="4"/>
      <c r="I13" s="4"/>
      <c r="J13" s="5">
        <v>0.0</v>
      </c>
      <c r="K13" s="5">
        <v>0.0</v>
      </c>
      <c r="L13" s="5">
        <v>0.0</v>
      </c>
      <c r="M13" s="5">
        <v>700.0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f t="shared" si="1"/>
        <v>700</v>
      </c>
    </row>
    <row r="14">
      <c r="A14" s="4"/>
      <c r="B14" s="4"/>
      <c r="C14" s="4"/>
      <c r="D14" s="4"/>
      <c r="E14" s="4"/>
      <c r="F14" s="4"/>
      <c r="G14" s="4" t="s">
        <v>25</v>
      </c>
      <c r="H14" s="4"/>
      <c r="I14" s="4"/>
      <c r="J14" s="5">
        <v>1935.1</v>
      </c>
      <c r="K14" s="5">
        <v>5071.05</v>
      </c>
      <c r="L14" s="5">
        <v>3419.05</v>
      </c>
      <c r="M14" s="5">
        <v>2472.1</v>
      </c>
      <c r="N14" s="5">
        <v>3832.05</v>
      </c>
      <c r="O14" s="5">
        <v>2773.0</v>
      </c>
      <c r="P14" s="5">
        <v>3832.05</v>
      </c>
      <c r="Q14" s="5">
        <v>3127.0</v>
      </c>
      <c r="R14" s="5">
        <v>3764.2</v>
      </c>
      <c r="S14" s="5">
        <v>3422.0</v>
      </c>
      <c r="T14" s="5">
        <v>3363.0</v>
      </c>
      <c r="U14" s="5">
        <v>2121.25</v>
      </c>
      <c r="V14" s="5">
        <f t="shared" si="1"/>
        <v>39131.85</v>
      </c>
    </row>
    <row r="15">
      <c r="A15" s="4"/>
      <c r="B15" s="4"/>
      <c r="C15" s="4"/>
      <c r="D15" s="4"/>
      <c r="E15" s="4"/>
      <c r="F15" s="4"/>
      <c r="G15" s="4" t="s">
        <v>26</v>
      </c>
      <c r="H15" s="4"/>
      <c r="I15" s="4"/>
      <c r="J15" s="5">
        <v>2551.14</v>
      </c>
      <c r="K15" s="5">
        <v>4448.63</v>
      </c>
      <c r="L15" s="5">
        <v>5171.28</v>
      </c>
      <c r="M15" s="5">
        <v>3703.28</v>
      </c>
      <c r="N15" s="5">
        <v>3157.71</v>
      </c>
      <c r="O15" s="5">
        <v>2772.52</v>
      </c>
      <c r="P15" s="5">
        <v>4791.8</v>
      </c>
      <c r="Q15" s="5">
        <v>4189.78</v>
      </c>
      <c r="R15" s="5">
        <v>3260.3</v>
      </c>
      <c r="S15" s="5">
        <v>3089.07</v>
      </c>
      <c r="T15" s="5">
        <v>3576.89</v>
      </c>
      <c r="U15" s="5">
        <v>3613.91</v>
      </c>
      <c r="V15" s="5">
        <f t="shared" si="1"/>
        <v>44326.31</v>
      </c>
    </row>
    <row r="16">
      <c r="A16" s="4"/>
      <c r="B16" s="4"/>
      <c r="C16" s="4"/>
      <c r="D16" s="4"/>
      <c r="E16" s="4"/>
      <c r="F16" s="4"/>
      <c r="G16" s="4" t="s">
        <v>27</v>
      </c>
      <c r="H16" s="4"/>
      <c r="I16" s="4"/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164.55</v>
      </c>
      <c r="R16" s="5">
        <v>0.0</v>
      </c>
      <c r="S16" s="5">
        <v>0.0</v>
      </c>
      <c r="T16" s="5">
        <v>0.0</v>
      </c>
      <c r="U16" s="5">
        <v>0.0</v>
      </c>
      <c r="V16" s="5">
        <f t="shared" si="1"/>
        <v>164.55</v>
      </c>
    </row>
    <row r="17">
      <c r="A17" s="4"/>
      <c r="B17" s="4"/>
      <c r="C17" s="4"/>
      <c r="D17" s="4"/>
      <c r="E17" s="4"/>
      <c r="F17" s="4"/>
      <c r="G17" s="4" t="s">
        <v>28</v>
      </c>
      <c r="H17" s="4"/>
      <c r="I17" s="4"/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f t="shared" si="1"/>
        <v>0</v>
      </c>
    </row>
    <row r="18">
      <c r="A18" s="4"/>
      <c r="B18" s="4"/>
      <c r="C18" s="4"/>
      <c r="D18" s="4"/>
      <c r="E18" s="4"/>
      <c r="F18" s="4" t="s">
        <v>29</v>
      </c>
      <c r="G18" s="4"/>
      <c r="H18" s="4"/>
      <c r="I18" s="4"/>
      <c r="J18" s="5">
        <f t="shared" ref="J18:U18" si="2">ROUND(SUM(J5:J17),5)</f>
        <v>196977.73</v>
      </c>
      <c r="K18" s="5">
        <f t="shared" si="2"/>
        <v>217185.5</v>
      </c>
      <c r="L18" s="5">
        <f t="shared" si="2"/>
        <v>208646.39</v>
      </c>
      <c r="M18" s="5">
        <f t="shared" si="2"/>
        <v>183982.59</v>
      </c>
      <c r="N18" s="5">
        <f t="shared" si="2"/>
        <v>175934.79</v>
      </c>
      <c r="O18" s="5">
        <f t="shared" si="2"/>
        <v>180713.67</v>
      </c>
      <c r="P18" s="5">
        <f t="shared" si="2"/>
        <v>186453.69</v>
      </c>
      <c r="Q18" s="5">
        <f t="shared" si="2"/>
        <v>222913.79</v>
      </c>
      <c r="R18" s="5">
        <f t="shared" si="2"/>
        <v>226466.09</v>
      </c>
      <c r="S18" s="5">
        <f t="shared" si="2"/>
        <v>199219.08</v>
      </c>
      <c r="T18" s="5">
        <f t="shared" si="2"/>
        <v>247049.67</v>
      </c>
      <c r="U18" s="5">
        <f t="shared" si="2"/>
        <v>227078.05</v>
      </c>
      <c r="V18" s="5">
        <f t="shared" si="1"/>
        <v>2472621.04</v>
      </c>
    </row>
    <row r="19">
      <c r="A19" s="4"/>
      <c r="B19" s="4"/>
      <c r="C19" s="4"/>
      <c r="D19" s="4"/>
      <c r="E19" s="4"/>
      <c r="F19" s="4" t="s">
        <v>30</v>
      </c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4"/>
      <c r="B20" s="4"/>
      <c r="C20" s="4"/>
      <c r="D20" s="4"/>
      <c r="E20" s="4"/>
      <c r="F20" s="4"/>
      <c r="G20" s="4" t="s">
        <v>31</v>
      </c>
      <c r="H20" s="4"/>
      <c r="I20" s="4"/>
      <c r="J20" s="5">
        <v>-339.89</v>
      </c>
      <c r="K20" s="5">
        <v>-1328.26</v>
      </c>
      <c r="L20" s="5">
        <v>0.0</v>
      </c>
      <c r="M20" s="5">
        <v>-2826.03</v>
      </c>
      <c r="N20" s="5">
        <v>-5266.95</v>
      </c>
      <c r="O20" s="5">
        <v>0.0</v>
      </c>
      <c r="P20" s="5">
        <v>-3121.55</v>
      </c>
      <c r="Q20" s="5">
        <v>-296.04</v>
      </c>
      <c r="R20" s="5">
        <v>-100.01</v>
      </c>
      <c r="S20" s="5">
        <v>0.0</v>
      </c>
      <c r="T20" s="5">
        <v>-1878.92</v>
      </c>
      <c r="U20" s="5">
        <v>0.0</v>
      </c>
      <c r="V20" s="5">
        <f t="shared" ref="V20:V22" si="4">ROUND(SUM(J20:U20),5)</f>
        <v>-15157.65</v>
      </c>
    </row>
    <row r="21" ht="15.75" customHeight="1">
      <c r="A21" s="4"/>
      <c r="B21" s="4"/>
      <c r="C21" s="4"/>
      <c r="D21" s="4"/>
      <c r="E21" s="4"/>
      <c r="F21" s="4" t="s">
        <v>32</v>
      </c>
      <c r="G21" s="4"/>
      <c r="H21" s="4"/>
      <c r="I21" s="4"/>
      <c r="J21" s="7">
        <f t="shared" ref="J21:U21" si="3">ROUND(SUM(J19:J20),5)</f>
        <v>-339.89</v>
      </c>
      <c r="K21" s="7">
        <f t="shared" si="3"/>
        <v>-1328.26</v>
      </c>
      <c r="L21" s="7">
        <f t="shared" si="3"/>
        <v>0</v>
      </c>
      <c r="M21" s="7">
        <f t="shared" si="3"/>
        <v>-2826.03</v>
      </c>
      <c r="N21" s="7">
        <f t="shared" si="3"/>
        <v>-5266.95</v>
      </c>
      <c r="O21" s="7">
        <f t="shared" si="3"/>
        <v>0</v>
      </c>
      <c r="P21" s="7">
        <f t="shared" si="3"/>
        <v>-3121.55</v>
      </c>
      <c r="Q21" s="7">
        <f t="shared" si="3"/>
        <v>-296.04</v>
      </c>
      <c r="R21" s="7">
        <f t="shared" si="3"/>
        <v>-100.01</v>
      </c>
      <c r="S21" s="7">
        <f t="shared" si="3"/>
        <v>0</v>
      </c>
      <c r="T21" s="7">
        <f t="shared" si="3"/>
        <v>-1878.92</v>
      </c>
      <c r="U21" s="7">
        <f t="shared" si="3"/>
        <v>0</v>
      </c>
      <c r="V21" s="7">
        <f t="shared" si="4"/>
        <v>-15157.65</v>
      </c>
    </row>
    <row r="22" ht="15.75" customHeight="1">
      <c r="A22" s="4"/>
      <c r="B22" s="4"/>
      <c r="C22" s="4"/>
      <c r="D22" s="4"/>
      <c r="E22" s="4" t="s">
        <v>33</v>
      </c>
      <c r="F22" s="4"/>
      <c r="G22" s="4"/>
      <c r="H22" s="4"/>
      <c r="I22" s="4"/>
      <c r="J22" s="5">
        <f t="shared" ref="J22:U22" si="5">ROUND(J4+J18+J21,5)</f>
        <v>196637.84</v>
      </c>
      <c r="K22" s="5">
        <f t="shared" si="5"/>
        <v>215857.24</v>
      </c>
      <c r="L22" s="5">
        <f t="shared" si="5"/>
        <v>208646.39</v>
      </c>
      <c r="M22" s="5">
        <f t="shared" si="5"/>
        <v>181156.56</v>
      </c>
      <c r="N22" s="5">
        <f t="shared" si="5"/>
        <v>170667.84</v>
      </c>
      <c r="O22" s="5">
        <f t="shared" si="5"/>
        <v>180713.67</v>
      </c>
      <c r="P22" s="5">
        <f t="shared" si="5"/>
        <v>183332.14</v>
      </c>
      <c r="Q22" s="5">
        <f t="shared" si="5"/>
        <v>222617.75</v>
      </c>
      <c r="R22" s="5">
        <f t="shared" si="5"/>
        <v>226366.08</v>
      </c>
      <c r="S22" s="5">
        <f t="shared" si="5"/>
        <v>199219.08</v>
      </c>
      <c r="T22" s="5">
        <f t="shared" si="5"/>
        <v>245170.75</v>
      </c>
      <c r="U22" s="5">
        <f t="shared" si="5"/>
        <v>227078.05</v>
      </c>
      <c r="V22" s="5">
        <f t="shared" si="4"/>
        <v>2457463.39</v>
      </c>
    </row>
    <row r="23" ht="15.75" customHeight="1">
      <c r="A23" s="4"/>
      <c r="B23" s="4"/>
      <c r="C23" s="4"/>
      <c r="D23" s="4"/>
      <c r="E23" s="4" t="s">
        <v>34</v>
      </c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4"/>
      <c r="B24" s="4"/>
      <c r="C24" s="4"/>
      <c r="D24" s="4"/>
      <c r="E24" s="4"/>
      <c r="F24" s="4" t="s">
        <v>35</v>
      </c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4"/>
      <c r="B25" s="4"/>
      <c r="C25" s="4"/>
      <c r="D25" s="4"/>
      <c r="E25" s="4"/>
      <c r="F25" s="4"/>
      <c r="G25" s="4" t="s">
        <v>36</v>
      </c>
      <c r="H25" s="4"/>
      <c r="I25" s="4"/>
      <c r="J25" s="5">
        <v>2682.43</v>
      </c>
      <c r="K25" s="5">
        <v>3914.91</v>
      </c>
      <c r="L25" s="5">
        <v>3706.12</v>
      </c>
      <c r="M25" s="5">
        <v>3600.82</v>
      </c>
      <c r="N25" s="5">
        <v>3068.97</v>
      </c>
      <c r="O25" s="5">
        <v>3447.66</v>
      </c>
      <c r="P25" s="5">
        <v>4317.52</v>
      </c>
      <c r="Q25" s="5">
        <v>4063.09</v>
      </c>
      <c r="R25" s="5">
        <v>4001.38</v>
      </c>
      <c r="S25" s="5">
        <v>4083.08</v>
      </c>
      <c r="T25" s="5">
        <v>3626.08</v>
      </c>
      <c r="U25" s="5">
        <v>3463.55</v>
      </c>
      <c r="V25" s="5">
        <f t="shared" ref="V25:V28" si="7">ROUND(SUM(J25:U25),5)</f>
        <v>43975.61</v>
      </c>
    </row>
    <row r="26" ht="15.75" customHeight="1">
      <c r="A26" s="4"/>
      <c r="B26" s="4"/>
      <c r="C26" s="4"/>
      <c r="D26" s="4"/>
      <c r="E26" s="4"/>
      <c r="F26" s="4" t="s">
        <v>37</v>
      </c>
      <c r="G26" s="4"/>
      <c r="H26" s="4"/>
      <c r="I26" s="4"/>
      <c r="J26" s="8">
        <f t="shared" ref="J26:U26" si="6">ROUND(SUM(J24:J25),5)</f>
        <v>2682.43</v>
      </c>
      <c r="K26" s="8">
        <f t="shared" si="6"/>
        <v>3914.91</v>
      </c>
      <c r="L26" s="8">
        <f t="shared" si="6"/>
        <v>3706.12</v>
      </c>
      <c r="M26" s="8">
        <f t="shared" si="6"/>
        <v>3600.82</v>
      </c>
      <c r="N26" s="8">
        <f t="shared" si="6"/>
        <v>3068.97</v>
      </c>
      <c r="O26" s="8">
        <f t="shared" si="6"/>
        <v>3447.66</v>
      </c>
      <c r="P26" s="8">
        <f t="shared" si="6"/>
        <v>4317.52</v>
      </c>
      <c r="Q26" s="8">
        <f t="shared" si="6"/>
        <v>4063.09</v>
      </c>
      <c r="R26" s="8">
        <f t="shared" si="6"/>
        <v>4001.38</v>
      </c>
      <c r="S26" s="8">
        <f t="shared" si="6"/>
        <v>4083.08</v>
      </c>
      <c r="T26" s="8">
        <f t="shared" si="6"/>
        <v>3626.08</v>
      </c>
      <c r="U26" s="8">
        <f t="shared" si="6"/>
        <v>3463.55</v>
      </c>
      <c r="V26" s="8">
        <f t="shared" si="7"/>
        <v>43975.61</v>
      </c>
    </row>
    <row r="27" ht="15.75" customHeight="1">
      <c r="A27" s="4"/>
      <c r="B27" s="4"/>
      <c r="C27" s="4"/>
      <c r="D27" s="4"/>
      <c r="E27" s="4" t="s">
        <v>38</v>
      </c>
      <c r="F27" s="4"/>
      <c r="G27" s="4"/>
      <c r="H27" s="4"/>
      <c r="I27" s="4"/>
      <c r="J27" s="7">
        <f t="shared" ref="J27:U27" si="8">ROUND(J23+J26,5)</f>
        <v>2682.43</v>
      </c>
      <c r="K27" s="7">
        <f t="shared" si="8"/>
        <v>3914.91</v>
      </c>
      <c r="L27" s="7">
        <f t="shared" si="8"/>
        <v>3706.12</v>
      </c>
      <c r="M27" s="7">
        <f t="shared" si="8"/>
        <v>3600.82</v>
      </c>
      <c r="N27" s="7">
        <f t="shared" si="8"/>
        <v>3068.97</v>
      </c>
      <c r="O27" s="7">
        <f t="shared" si="8"/>
        <v>3447.66</v>
      </c>
      <c r="P27" s="7">
        <f t="shared" si="8"/>
        <v>4317.52</v>
      </c>
      <c r="Q27" s="7">
        <f t="shared" si="8"/>
        <v>4063.09</v>
      </c>
      <c r="R27" s="7">
        <f t="shared" si="8"/>
        <v>4001.38</v>
      </c>
      <c r="S27" s="7">
        <f t="shared" si="8"/>
        <v>4083.08</v>
      </c>
      <c r="T27" s="7">
        <f t="shared" si="8"/>
        <v>3626.08</v>
      </c>
      <c r="U27" s="7">
        <f t="shared" si="8"/>
        <v>3463.55</v>
      </c>
      <c r="V27" s="7">
        <f t="shared" si="7"/>
        <v>43975.61</v>
      </c>
    </row>
    <row r="28" ht="15.75" customHeight="1">
      <c r="A28" s="4"/>
      <c r="B28" s="4"/>
      <c r="C28" s="4"/>
      <c r="D28" s="4" t="s">
        <v>39</v>
      </c>
      <c r="E28" s="4"/>
      <c r="F28" s="4"/>
      <c r="G28" s="4"/>
      <c r="H28" s="4"/>
      <c r="I28" s="4"/>
      <c r="J28" s="5">
        <f t="shared" ref="J28:U28" si="9">ROUND(J3+J22+J27,5)</f>
        <v>199320.27</v>
      </c>
      <c r="K28" s="5">
        <f t="shared" si="9"/>
        <v>219772.15</v>
      </c>
      <c r="L28" s="5">
        <f t="shared" si="9"/>
        <v>212352.51</v>
      </c>
      <c r="M28" s="5">
        <f t="shared" si="9"/>
        <v>184757.38</v>
      </c>
      <c r="N28" s="5">
        <f t="shared" si="9"/>
        <v>173736.81</v>
      </c>
      <c r="O28" s="5">
        <f t="shared" si="9"/>
        <v>184161.33</v>
      </c>
      <c r="P28" s="5">
        <f t="shared" si="9"/>
        <v>187649.66</v>
      </c>
      <c r="Q28" s="5">
        <f t="shared" si="9"/>
        <v>226680.84</v>
      </c>
      <c r="R28" s="5">
        <f t="shared" si="9"/>
        <v>230367.46</v>
      </c>
      <c r="S28" s="5">
        <f t="shared" si="9"/>
        <v>203302.16</v>
      </c>
      <c r="T28" s="5">
        <f t="shared" si="9"/>
        <v>248796.83</v>
      </c>
      <c r="U28" s="5">
        <f t="shared" si="9"/>
        <v>230541.6</v>
      </c>
      <c r="V28" s="5">
        <f t="shared" si="7"/>
        <v>2501439</v>
      </c>
    </row>
    <row r="29" ht="15.75" customHeight="1">
      <c r="A29" s="4"/>
      <c r="B29" s="4"/>
      <c r="C29" s="4"/>
      <c r="D29" s="4" t="s">
        <v>40</v>
      </c>
      <c r="E29" s="4"/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4"/>
      <c r="B30" s="4"/>
      <c r="C30" s="4"/>
      <c r="D30" s="4"/>
      <c r="E30" s="4" t="s">
        <v>41</v>
      </c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4"/>
      <c r="B31" s="4"/>
      <c r="C31" s="4"/>
      <c r="D31" s="4"/>
      <c r="E31" s="4"/>
      <c r="F31" s="4" t="s">
        <v>42</v>
      </c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4"/>
      <c r="B32" s="4"/>
      <c r="C32" s="4"/>
      <c r="D32" s="4"/>
      <c r="E32" s="4"/>
      <c r="F32" s="4"/>
      <c r="G32" s="4" t="s">
        <v>43</v>
      </c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4"/>
      <c r="B33" s="4"/>
      <c r="C33" s="4"/>
      <c r="D33" s="4"/>
      <c r="E33" s="4"/>
      <c r="F33" s="4"/>
      <c r="G33" s="4"/>
      <c r="H33" s="4" t="s">
        <v>44</v>
      </c>
      <c r="I33" s="4"/>
      <c r="J33" s="5">
        <v>4602.39</v>
      </c>
      <c r="K33" s="5">
        <v>4529.8</v>
      </c>
      <c r="L33" s="5">
        <v>-187.39</v>
      </c>
      <c r="M33" s="5">
        <v>3489.84</v>
      </c>
      <c r="N33" s="5">
        <v>3485.1</v>
      </c>
      <c r="O33" s="5">
        <v>4008.4</v>
      </c>
      <c r="P33" s="5">
        <v>4438.98</v>
      </c>
      <c r="Q33" s="5">
        <v>3125.32</v>
      </c>
      <c r="R33" s="5">
        <v>639.8</v>
      </c>
      <c r="S33" s="5">
        <v>3651.88</v>
      </c>
      <c r="T33" s="5">
        <v>5420.02</v>
      </c>
      <c r="U33" s="5">
        <v>4582.27</v>
      </c>
      <c r="V33" s="5">
        <f t="shared" ref="V33:V37" si="10">ROUND(SUM(J33:U33),5)</f>
        <v>41786.41</v>
      </c>
    </row>
    <row r="34" ht="15.75" customHeight="1">
      <c r="A34" s="4"/>
      <c r="B34" s="4"/>
      <c r="C34" s="4"/>
      <c r="D34" s="4"/>
      <c r="E34" s="4"/>
      <c r="F34" s="4"/>
      <c r="G34" s="4"/>
      <c r="H34" s="4" t="s">
        <v>45</v>
      </c>
      <c r="I34" s="4"/>
      <c r="J34" s="5">
        <v>0.0</v>
      </c>
      <c r="K34" s="5">
        <v>8.41</v>
      </c>
      <c r="L34" s="5">
        <v>0.0</v>
      </c>
      <c r="M34" s="5">
        <v>0.0</v>
      </c>
      <c r="N34" s="5">
        <v>0.0</v>
      </c>
      <c r="O34" s="5">
        <v>0.0</v>
      </c>
      <c r="P34" s="5">
        <v>57.28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f t="shared" si="10"/>
        <v>65.69</v>
      </c>
    </row>
    <row r="35" ht="15.75" customHeight="1">
      <c r="A35" s="4"/>
      <c r="B35" s="4"/>
      <c r="C35" s="4"/>
      <c r="D35" s="4"/>
      <c r="E35" s="4"/>
      <c r="F35" s="4"/>
      <c r="G35" s="4"/>
      <c r="H35" s="4" t="s">
        <v>46</v>
      </c>
      <c r="I35" s="4"/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686.5</v>
      </c>
      <c r="U35" s="5">
        <v>0.0</v>
      </c>
      <c r="V35" s="5">
        <f t="shared" si="10"/>
        <v>686.5</v>
      </c>
    </row>
    <row r="36" ht="15.75" customHeight="1">
      <c r="A36" s="4"/>
      <c r="B36" s="4"/>
      <c r="C36" s="4"/>
      <c r="D36" s="4"/>
      <c r="E36" s="4"/>
      <c r="F36" s="4"/>
      <c r="G36" s="4"/>
      <c r="H36" s="4" t="s">
        <v>47</v>
      </c>
      <c r="I36" s="4"/>
      <c r="J36" s="6">
        <v>1044.88</v>
      </c>
      <c r="K36" s="6">
        <v>68.87</v>
      </c>
      <c r="L36" s="6">
        <v>-633.08</v>
      </c>
      <c r="M36" s="6">
        <v>426.98</v>
      </c>
      <c r="N36" s="6">
        <v>244.51</v>
      </c>
      <c r="O36" s="6">
        <v>249.5</v>
      </c>
      <c r="P36" s="6">
        <v>348.76</v>
      </c>
      <c r="Q36" s="6">
        <v>619.89</v>
      </c>
      <c r="R36" s="6">
        <v>0.0</v>
      </c>
      <c r="S36" s="6">
        <v>0.0</v>
      </c>
      <c r="T36" s="6">
        <v>0.0</v>
      </c>
      <c r="U36" s="6">
        <v>0.0</v>
      </c>
      <c r="V36" s="6">
        <f t="shared" si="10"/>
        <v>2370.31</v>
      </c>
    </row>
    <row r="37" ht="15.75" customHeight="1">
      <c r="A37" s="4"/>
      <c r="B37" s="4"/>
      <c r="C37" s="4"/>
      <c r="D37" s="4"/>
      <c r="E37" s="4"/>
      <c r="F37" s="4"/>
      <c r="G37" s="4" t="s">
        <v>48</v>
      </c>
      <c r="H37" s="4"/>
      <c r="I37" s="4"/>
      <c r="J37" s="5">
        <f t="shared" ref="J37:U37" si="11">ROUND(SUM(J32:J36),5)</f>
        <v>5647.27</v>
      </c>
      <c r="K37" s="5">
        <f t="shared" si="11"/>
        <v>4607.08</v>
      </c>
      <c r="L37" s="5">
        <f t="shared" si="11"/>
        <v>-820.47</v>
      </c>
      <c r="M37" s="5">
        <f t="shared" si="11"/>
        <v>3916.82</v>
      </c>
      <c r="N37" s="5">
        <f t="shared" si="11"/>
        <v>3729.61</v>
      </c>
      <c r="O37" s="5">
        <f t="shared" si="11"/>
        <v>4257.9</v>
      </c>
      <c r="P37" s="5">
        <f t="shared" si="11"/>
        <v>4845.02</v>
      </c>
      <c r="Q37" s="5">
        <f t="shared" si="11"/>
        <v>3745.21</v>
      </c>
      <c r="R37" s="5">
        <f t="shared" si="11"/>
        <v>639.8</v>
      </c>
      <c r="S37" s="5">
        <f t="shared" si="11"/>
        <v>3651.88</v>
      </c>
      <c r="T37" s="5">
        <f t="shared" si="11"/>
        <v>6106.52</v>
      </c>
      <c r="U37" s="5">
        <f t="shared" si="11"/>
        <v>4582.27</v>
      </c>
      <c r="V37" s="5">
        <f t="shared" si="10"/>
        <v>44908.91</v>
      </c>
    </row>
    <row r="38" ht="15.75" customHeight="1">
      <c r="A38" s="4"/>
      <c r="B38" s="4"/>
      <c r="C38" s="4"/>
      <c r="D38" s="4"/>
      <c r="E38" s="4"/>
      <c r="F38" s="4"/>
      <c r="G38" s="4" t="s">
        <v>49</v>
      </c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4"/>
      <c r="B39" s="4"/>
      <c r="C39" s="4"/>
      <c r="D39" s="4"/>
      <c r="E39" s="4"/>
      <c r="F39" s="4"/>
      <c r="G39" s="4"/>
      <c r="H39" s="4" t="s">
        <v>50</v>
      </c>
      <c r="I39" s="4"/>
      <c r="J39" s="5">
        <v>0.0</v>
      </c>
      <c r="K39" s="5">
        <v>0.0</v>
      </c>
      <c r="L39" s="5">
        <v>446.15</v>
      </c>
      <c r="M39" s="5">
        <v>0.0</v>
      </c>
      <c r="N39" s="5">
        <v>319.52</v>
      </c>
      <c r="O39" s="5">
        <v>0.0</v>
      </c>
      <c r="P39" s="5">
        <v>0.0</v>
      </c>
      <c r="Q39" s="5">
        <v>999.76</v>
      </c>
      <c r="R39" s="5">
        <v>0.0</v>
      </c>
      <c r="S39" s="5">
        <v>0.0</v>
      </c>
      <c r="T39" s="5">
        <v>0.0</v>
      </c>
      <c r="U39" s="5">
        <v>0.0</v>
      </c>
      <c r="V39" s="5">
        <f t="shared" ref="V39:V45" si="12">ROUND(SUM(J39:U39),5)</f>
        <v>1765.43</v>
      </c>
    </row>
    <row r="40" ht="15.75" customHeight="1">
      <c r="A40" s="4"/>
      <c r="B40" s="4"/>
      <c r="C40" s="4"/>
      <c r="D40" s="4"/>
      <c r="E40" s="4"/>
      <c r="F40" s="4"/>
      <c r="G40" s="4"/>
      <c r="H40" s="4" t="s">
        <v>51</v>
      </c>
      <c r="I40" s="4"/>
      <c r="J40" s="5">
        <v>2000.0</v>
      </c>
      <c r="K40" s="5">
        <v>0.0</v>
      </c>
      <c r="L40" s="5">
        <v>0.0</v>
      </c>
      <c r="M40" s="5">
        <v>3400.0</v>
      </c>
      <c r="N40" s="5">
        <v>0.0</v>
      </c>
      <c r="O40" s="5">
        <v>500.0</v>
      </c>
      <c r="P40" s="5">
        <v>0.0</v>
      </c>
      <c r="Q40" s="5">
        <v>250.0</v>
      </c>
      <c r="R40" s="5">
        <v>0.0</v>
      </c>
      <c r="S40" s="5">
        <v>1250.0</v>
      </c>
      <c r="T40" s="5">
        <v>0.0</v>
      </c>
      <c r="U40" s="5">
        <v>0.0</v>
      </c>
      <c r="V40" s="5">
        <f t="shared" si="12"/>
        <v>7400</v>
      </c>
    </row>
    <row r="41" ht="15.75" customHeight="1">
      <c r="A41" s="4"/>
      <c r="B41" s="4"/>
      <c r="C41" s="4"/>
      <c r="D41" s="4"/>
      <c r="E41" s="4"/>
      <c r="F41" s="4"/>
      <c r="G41" s="4"/>
      <c r="H41" s="4" t="s">
        <v>52</v>
      </c>
      <c r="I41" s="4"/>
      <c r="J41" s="5">
        <v>9139.0</v>
      </c>
      <c r="K41" s="5">
        <v>8055.38</v>
      </c>
      <c r="L41" s="5">
        <v>8865.0</v>
      </c>
      <c r="M41" s="5">
        <v>8608.0</v>
      </c>
      <c r="N41" s="5">
        <v>8875.0</v>
      </c>
      <c r="O41" s="5">
        <v>8548.5</v>
      </c>
      <c r="P41" s="5">
        <v>9301.15</v>
      </c>
      <c r="Q41" s="5">
        <v>10601.0</v>
      </c>
      <c r="R41" s="5">
        <v>11427.0</v>
      </c>
      <c r="S41" s="5">
        <v>11947.5</v>
      </c>
      <c r="T41" s="5">
        <v>13998.0</v>
      </c>
      <c r="U41" s="5">
        <v>10408.0</v>
      </c>
      <c r="V41" s="5">
        <f t="shared" si="12"/>
        <v>119773.53</v>
      </c>
    </row>
    <row r="42" ht="15.75" customHeight="1">
      <c r="A42" s="4"/>
      <c r="B42" s="4"/>
      <c r="C42" s="4"/>
      <c r="D42" s="4"/>
      <c r="E42" s="4"/>
      <c r="F42" s="4"/>
      <c r="G42" s="4"/>
      <c r="H42" s="4" t="s">
        <v>53</v>
      </c>
      <c r="I42" s="4"/>
      <c r="J42" s="5">
        <v>345.46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1998.78</v>
      </c>
      <c r="V42" s="5">
        <f t="shared" si="12"/>
        <v>2344.24</v>
      </c>
    </row>
    <row r="43" ht="15.75" customHeight="1">
      <c r="A43" s="4"/>
      <c r="B43" s="4"/>
      <c r="C43" s="4"/>
      <c r="D43" s="4"/>
      <c r="E43" s="4"/>
      <c r="F43" s="4"/>
      <c r="G43" s="4"/>
      <c r="H43" s="4" t="s">
        <v>54</v>
      </c>
      <c r="I43" s="4"/>
      <c r="J43" s="5">
        <v>20042.31</v>
      </c>
      <c r="K43" s="5">
        <v>21125.19</v>
      </c>
      <c r="L43" s="5">
        <v>15822.02</v>
      </c>
      <c r="M43" s="5">
        <v>14000.0</v>
      </c>
      <c r="N43" s="5">
        <v>14000.0</v>
      </c>
      <c r="O43" s="5">
        <v>14250.0</v>
      </c>
      <c r="P43" s="5">
        <v>14000.0</v>
      </c>
      <c r="Q43" s="5">
        <v>14000.0</v>
      </c>
      <c r="R43" s="5">
        <v>9166.66</v>
      </c>
      <c r="S43" s="5">
        <v>5022.06</v>
      </c>
      <c r="T43" s="5">
        <v>6121.47</v>
      </c>
      <c r="U43" s="5">
        <v>9653.85</v>
      </c>
      <c r="V43" s="5">
        <f t="shared" si="12"/>
        <v>157203.56</v>
      </c>
    </row>
    <row r="44" ht="15.75" customHeight="1">
      <c r="A44" s="4"/>
      <c r="B44" s="4"/>
      <c r="C44" s="4"/>
      <c r="D44" s="4"/>
      <c r="E44" s="4"/>
      <c r="F44" s="4"/>
      <c r="G44" s="4"/>
      <c r="H44" s="4" t="s">
        <v>55</v>
      </c>
      <c r="I44" s="4"/>
      <c r="J44" s="5">
        <v>2794.4</v>
      </c>
      <c r="K44" s="5">
        <v>0.0</v>
      </c>
      <c r="L44" s="5">
        <v>3598.43</v>
      </c>
      <c r="M44" s="5">
        <v>2807.47</v>
      </c>
      <c r="N44" s="5">
        <v>2655.28</v>
      </c>
      <c r="O44" s="5">
        <v>0.0</v>
      </c>
      <c r="P44" s="5">
        <v>0.0</v>
      </c>
      <c r="Q44" s="5">
        <v>0.0</v>
      </c>
      <c r="R44" s="5">
        <v>4231.74</v>
      </c>
      <c r="S44" s="5">
        <v>3459.97</v>
      </c>
      <c r="T44" s="5">
        <v>4957.89</v>
      </c>
      <c r="U44" s="5">
        <v>0.0</v>
      </c>
      <c r="V44" s="5">
        <f t="shared" si="12"/>
        <v>24505.18</v>
      </c>
    </row>
    <row r="45" ht="15.75" customHeight="1">
      <c r="A45" s="4"/>
      <c r="B45" s="4"/>
      <c r="C45" s="4"/>
      <c r="D45" s="4"/>
      <c r="E45" s="4"/>
      <c r="F45" s="4"/>
      <c r="G45" s="4"/>
      <c r="H45" s="4" t="s">
        <v>56</v>
      </c>
      <c r="I45" s="4"/>
      <c r="J45" s="5">
        <v>59840.79</v>
      </c>
      <c r="K45" s="5">
        <v>66284.23</v>
      </c>
      <c r="L45" s="5">
        <v>61226.29</v>
      </c>
      <c r="M45" s="5">
        <v>61314.07</v>
      </c>
      <c r="N45" s="5">
        <v>56967.81</v>
      </c>
      <c r="O45" s="5">
        <v>62767.65</v>
      </c>
      <c r="P45" s="5">
        <v>68373.6</v>
      </c>
      <c r="Q45" s="5">
        <v>64145.54</v>
      </c>
      <c r="R45" s="5">
        <v>81232.86</v>
      </c>
      <c r="S45" s="5">
        <v>74451.48</v>
      </c>
      <c r="T45" s="5">
        <v>83090.2</v>
      </c>
      <c r="U45" s="5">
        <v>85895.37</v>
      </c>
      <c r="V45" s="5">
        <f t="shared" si="12"/>
        <v>825589.89</v>
      </c>
    </row>
    <row r="46" ht="15.75" customHeight="1">
      <c r="A46" s="4"/>
      <c r="B46" s="4"/>
      <c r="C46" s="4"/>
      <c r="D46" s="4"/>
      <c r="E46" s="4"/>
      <c r="F46" s="4"/>
      <c r="G46" s="4"/>
      <c r="H46" s="4" t="s">
        <v>57</v>
      </c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 t="s">
        <v>58</v>
      </c>
      <c r="J47" s="5">
        <v>7204.64</v>
      </c>
      <c r="K47" s="5">
        <v>7085.6</v>
      </c>
      <c r="L47" s="5">
        <v>6739.43</v>
      </c>
      <c r="M47" s="5">
        <v>8158.25</v>
      </c>
      <c r="N47" s="5">
        <v>6519.59</v>
      </c>
      <c r="O47" s="5">
        <v>6850.36</v>
      </c>
      <c r="P47" s="5">
        <v>8232.99</v>
      </c>
      <c r="Q47" s="5">
        <v>7272.35</v>
      </c>
      <c r="R47" s="5">
        <v>9362.73</v>
      </c>
      <c r="S47" s="5">
        <v>8494.78</v>
      </c>
      <c r="T47" s="5">
        <v>9377.25</v>
      </c>
      <c r="U47" s="5">
        <v>8662.63</v>
      </c>
      <c r="V47" s="5">
        <f t="shared" ref="V47:V55" si="13">ROUND(SUM(J47:U47),5)</f>
        <v>93960.6</v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 t="s">
        <v>59</v>
      </c>
      <c r="J48" s="6">
        <v>-7204.7</v>
      </c>
      <c r="K48" s="6">
        <v>-7085.61</v>
      </c>
      <c r="L48" s="6">
        <v>-6759.3</v>
      </c>
      <c r="M48" s="6">
        <v>-8158.25</v>
      </c>
      <c r="N48" s="6">
        <v>-6518.25</v>
      </c>
      <c r="O48" s="6">
        <v>-6814.36</v>
      </c>
      <c r="P48" s="6">
        <v>-8233.02</v>
      </c>
      <c r="Q48" s="6">
        <v>-8728.56</v>
      </c>
      <c r="R48" s="6">
        <v>-8468.35</v>
      </c>
      <c r="S48" s="6">
        <v>-8325.65</v>
      </c>
      <c r="T48" s="6">
        <v>-9348.65</v>
      </c>
      <c r="U48" s="6">
        <v>-8686.53</v>
      </c>
      <c r="V48" s="6">
        <f t="shared" si="13"/>
        <v>-94331.23</v>
      </c>
    </row>
    <row r="49" ht="15.75" customHeight="1">
      <c r="A49" s="4"/>
      <c r="B49" s="4"/>
      <c r="C49" s="4"/>
      <c r="D49" s="4"/>
      <c r="E49" s="4"/>
      <c r="F49" s="4"/>
      <c r="G49" s="4"/>
      <c r="H49" s="4" t="s">
        <v>60</v>
      </c>
      <c r="I49" s="4"/>
      <c r="J49" s="5">
        <f t="shared" ref="J49:U49" si="14">ROUND(SUM(J46:J48),5)</f>
        <v>-0.06</v>
      </c>
      <c r="K49" s="5">
        <f t="shared" si="14"/>
        <v>-0.01</v>
      </c>
      <c r="L49" s="5">
        <f t="shared" si="14"/>
        <v>-19.87</v>
      </c>
      <c r="M49" s="5">
        <f t="shared" si="14"/>
        <v>0</v>
      </c>
      <c r="N49" s="5">
        <f t="shared" si="14"/>
        <v>1.34</v>
      </c>
      <c r="O49" s="5">
        <f t="shared" si="14"/>
        <v>36</v>
      </c>
      <c r="P49" s="5">
        <f t="shared" si="14"/>
        <v>-0.03</v>
      </c>
      <c r="Q49" s="5">
        <f t="shared" si="14"/>
        <v>-1456.21</v>
      </c>
      <c r="R49" s="5">
        <f t="shared" si="14"/>
        <v>894.38</v>
      </c>
      <c r="S49" s="5">
        <f t="shared" si="14"/>
        <v>169.13</v>
      </c>
      <c r="T49" s="5">
        <f t="shared" si="14"/>
        <v>28.6</v>
      </c>
      <c r="U49" s="5">
        <f t="shared" si="14"/>
        <v>-23.9</v>
      </c>
      <c r="V49" s="5">
        <f t="shared" si="13"/>
        <v>-370.63</v>
      </c>
    </row>
    <row r="50" ht="15.75" customHeight="1">
      <c r="A50" s="4"/>
      <c r="B50" s="4"/>
      <c r="C50" s="4"/>
      <c r="D50" s="4"/>
      <c r="E50" s="4"/>
      <c r="F50" s="4"/>
      <c r="G50" s="4"/>
      <c r="H50" s="4" t="s">
        <v>61</v>
      </c>
      <c r="I50" s="4"/>
      <c r="J50" s="6">
        <v>1658.62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f t="shared" si="13"/>
        <v>1658.62</v>
      </c>
    </row>
    <row r="51" ht="15.75" customHeight="1">
      <c r="A51" s="4"/>
      <c r="B51" s="4"/>
      <c r="C51" s="4"/>
      <c r="D51" s="4"/>
      <c r="E51" s="4"/>
      <c r="F51" s="4"/>
      <c r="G51" s="4" t="s">
        <v>62</v>
      </c>
      <c r="H51" s="4"/>
      <c r="I51" s="4"/>
      <c r="J51" s="5">
        <f t="shared" ref="J51:U51" si="15">ROUND(SUM(J38:J45)+SUM(J49:J50),5)</f>
        <v>95820.52</v>
      </c>
      <c r="K51" s="5">
        <f t="shared" si="15"/>
        <v>95464.79</v>
      </c>
      <c r="L51" s="5">
        <f t="shared" si="15"/>
        <v>89938.02</v>
      </c>
      <c r="M51" s="5">
        <f t="shared" si="15"/>
        <v>90129.54</v>
      </c>
      <c r="N51" s="5">
        <f t="shared" si="15"/>
        <v>82818.95</v>
      </c>
      <c r="O51" s="5">
        <f t="shared" si="15"/>
        <v>86102.15</v>
      </c>
      <c r="P51" s="5">
        <f t="shared" si="15"/>
        <v>91674.72</v>
      </c>
      <c r="Q51" s="5">
        <f t="shared" si="15"/>
        <v>88540.09</v>
      </c>
      <c r="R51" s="5">
        <f t="shared" si="15"/>
        <v>106952.64</v>
      </c>
      <c r="S51" s="5">
        <f t="shared" si="15"/>
        <v>96300.14</v>
      </c>
      <c r="T51" s="5">
        <f t="shared" si="15"/>
        <v>108196.16</v>
      </c>
      <c r="U51" s="5">
        <f t="shared" si="15"/>
        <v>107932.1</v>
      </c>
      <c r="V51" s="5">
        <f t="shared" si="13"/>
        <v>1139869.82</v>
      </c>
    </row>
    <row r="52" ht="15.75" customHeight="1">
      <c r="A52" s="4"/>
      <c r="B52" s="4"/>
      <c r="C52" s="4"/>
      <c r="D52" s="4"/>
      <c r="E52" s="4"/>
      <c r="F52" s="4"/>
      <c r="G52" s="4" t="s">
        <v>63</v>
      </c>
      <c r="H52" s="4"/>
      <c r="I52" s="4"/>
      <c r="J52" s="5">
        <v>2397.21</v>
      </c>
      <c r="K52" s="5">
        <v>843.38</v>
      </c>
      <c r="L52" s="5">
        <v>1362.39</v>
      </c>
      <c r="M52" s="5">
        <v>1811.19</v>
      </c>
      <c r="N52" s="5">
        <v>299.55</v>
      </c>
      <c r="O52" s="5">
        <v>417.8</v>
      </c>
      <c r="P52" s="5">
        <v>607.25</v>
      </c>
      <c r="Q52" s="5">
        <v>516.88</v>
      </c>
      <c r="R52" s="5">
        <v>2005.74</v>
      </c>
      <c r="S52" s="5">
        <v>1785.93</v>
      </c>
      <c r="T52" s="5">
        <v>2357.5</v>
      </c>
      <c r="U52" s="5">
        <v>3096.66</v>
      </c>
      <c r="V52" s="5">
        <f t="shared" si="13"/>
        <v>17501.48</v>
      </c>
    </row>
    <row r="53" ht="15.75" customHeight="1">
      <c r="A53" s="4"/>
      <c r="B53" s="4"/>
      <c r="C53" s="4"/>
      <c r="D53" s="4"/>
      <c r="E53" s="4"/>
      <c r="F53" s="4"/>
      <c r="G53" s="4" t="s">
        <v>64</v>
      </c>
      <c r="H53" s="4"/>
      <c r="I53" s="4"/>
      <c r="J53" s="5">
        <v>10877.48</v>
      </c>
      <c r="K53" s="5">
        <v>9702.23</v>
      </c>
      <c r="L53" s="5">
        <v>8748.26</v>
      </c>
      <c r="M53" s="5">
        <v>9346.33</v>
      </c>
      <c r="N53" s="5">
        <v>8649.23</v>
      </c>
      <c r="O53" s="5">
        <v>8425.15</v>
      </c>
      <c r="P53" s="5">
        <v>18602.11</v>
      </c>
      <c r="Q53" s="5">
        <v>10605.69</v>
      </c>
      <c r="R53" s="5">
        <v>12501.24</v>
      </c>
      <c r="S53" s="5">
        <v>11934.83</v>
      </c>
      <c r="T53" s="5">
        <v>14034.53</v>
      </c>
      <c r="U53" s="5">
        <v>15288.6</v>
      </c>
      <c r="V53" s="5">
        <f t="shared" si="13"/>
        <v>138715.68</v>
      </c>
    </row>
    <row r="54" ht="15.75" customHeight="1">
      <c r="A54" s="4"/>
      <c r="B54" s="4"/>
      <c r="C54" s="4"/>
      <c r="D54" s="4"/>
      <c r="E54" s="4"/>
      <c r="F54" s="4" t="s">
        <v>65</v>
      </c>
      <c r="G54" s="4"/>
      <c r="H54" s="4"/>
      <c r="I54" s="4"/>
      <c r="J54" s="7">
        <f t="shared" ref="J54:U54" si="16">ROUND(J31+J37+SUM(J51:J53),5)</f>
        <v>114742.48</v>
      </c>
      <c r="K54" s="7">
        <f t="shared" si="16"/>
        <v>110617.48</v>
      </c>
      <c r="L54" s="7">
        <f t="shared" si="16"/>
        <v>99228.2</v>
      </c>
      <c r="M54" s="7">
        <f t="shared" si="16"/>
        <v>105203.88</v>
      </c>
      <c r="N54" s="7">
        <f t="shared" si="16"/>
        <v>95497.34</v>
      </c>
      <c r="O54" s="7">
        <f t="shared" si="16"/>
        <v>99203</v>
      </c>
      <c r="P54" s="7">
        <f t="shared" si="16"/>
        <v>115729.1</v>
      </c>
      <c r="Q54" s="7">
        <f t="shared" si="16"/>
        <v>103407.87</v>
      </c>
      <c r="R54" s="7">
        <f t="shared" si="16"/>
        <v>122099.42</v>
      </c>
      <c r="S54" s="7">
        <f t="shared" si="16"/>
        <v>113672.78</v>
      </c>
      <c r="T54" s="7">
        <f t="shared" si="16"/>
        <v>130694.71</v>
      </c>
      <c r="U54" s="7">
        <f t="shared" si="16"/>
        <v>130899.63</v>
      </c>
      <c r="V54" s="7">
        <f t="shared" si="13"/>
        <v>1340995.89</v>
      </c>
    </row>
    <row r="55" ht="15.75" customHeight="1">
      <c r="A55" s="4"/>
      <c r="B55" s="4"/>
      <c r="C55" s="4"/>
      <c r="D55" s="4"/>
      <c r="E55" s="4" t="s">
        <v>66</v>
      </c>
      <c r="F55" s="4"/>
      <c r="G55" s="4"/>
      <c r="H55" s="4"/>
      <c r="I55" s="4"/>
      <c r="J55" s="5">
        <f t="shared" ref="J55:U55" si="17">ROUND(J30+J54,5)</f>
        <v>114742.48</v>
      </c>
      <c r="K55" s="5">
        <f t="shared" si="17"/>
        <v>110617.48</v>
      </c>
      <c r="L55" s="5">
        <f t="shared" si="17"/>
        <v>99228.2</v>
      </c>
      <c r="M55" s="5">
        <f t="shared" si="17"/>
        <v>105203.88</v>
      </c>
      <c r="N55" s="5">
        <f t="shared" si="17"/>
        <v>95497.34</v>
      </c>
      <c r="O55" s="5">
        <f t="shared" si="17"/>
        <v>99203</v>
      </c>
      <c r="P55" s="5">
        <f t="shared" si="17"/>
        <v>115729.1</v>
      </c>
      <c r="Q55" s="5">
        <f t="shared" si="17"/>
        <v>103407.87</v>
      </c>
      <c r="R55" s="5">
        <f t="shared" si="17"/>
        <v>122099.42</v>
      </c>
      <c r="S55" s="5">
        <f t="shared" si="17"/>
        <v>113672.78</v>
      </c>
      <c r="T55" s="5">
        <f t="shared" si="17"/>
        <v>130694.71</v>
      </c>
      <c r="U55" s="5">
        <f t="shared" si="17"/>
        <v>130899.63</v>
      </c>
      <c r="V55" s="5">
        <f t="shared" si="13"/>
        <v>1340995.89</v>
      </c>
    </row>
    <row r="56" ht="15.75" customHeight="1">
      <c r="A56" s="4"/>
      <c r="B56" s="4"/>
      <c r="C56" s="4"/>
      <c r="D56" s="4"/>
      <c r="E56" s="4" t="s">
        <v>67</v>
      </c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4"/>
      <c r="B57" s="4"/>
      <c r="C57" s="4"/>
      <c r="D57" s="4"/>
      <c r="E57" s="4"/>
      <c r="F57" s="4" t="s">
        <v>68</v>
      </c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4"/>
      <c r="B58" s="4"/>
      <c r="C58" s="4"/>
      <c r="D58" s="4"/>
      <c r="E58" s="4"/>
      <c r="F58" s="4"/>
      <c r="G58" s="4" t="s">
        <v>69</v>
      </c>
      <c r="H58" s="4"/>
      <c r="I58" s="4"/>
      <c r="J58" s="5">
        <v>0.0</v>
      </c>
      <c r="K58" s="5">
        <v>0.0</v>
      </c>
      <c r="L58" s="5">
        <v>0.0</v>
      </c>
      <c r="M58" s="5">
        <v>53.28</v>
      </c>
      <c r="N58" s="5">
        <v>0.0</v>
      </c>
      <c r="O58" s="5">
        <v>0.0</v>
      </c>
      <c r="P58" s="5">
        <v>344.32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f t="shared" ref="V58:V64" si="18">ROUND(SUM(J58:U58),5)</f>
        <v>397.6</v>
      </c>
    </row>
    <row r="59" ht="15.75" customHeight="1">
      <c r="A59" s="4"/>
      <c r="B59" s="4"/>
      <c r="C59" s="4"/>
      <c r="D59" s="4"/>
      <c r="E59" s="4"/>
      <c r="F59" s="4"/>
      <c r="G59" s="4" t="s">
        <v>70</v>
      </c>
      <c r="H59" s="4"/>
      <c r="I59" s="4"/>
      <c r="J59" s="5">
        <v>428.27</v>
      </c>
      <c r="K59" s="5">
        <v>928.17</v>
      </c>
      <c r="L59" s="5">
        <v>235.06</v>
      </c>
      <c r="M59" s="5">
        <v>72.04</v>
      </c>
      <c r="N59" s="5">
        <v>1159.61</v>
      </c>
      <c r="O59" s="5">
        <v>42.18</v>
      </c>
      <c r="P59" s="5">
        <v>87.9</v>
      </c>
      <c r="Q59" s="5">
        <v>468.44</v>
      </c>
      <c r="R59" s="5">
        <v>674.98</v>
      </c>
      <c r="S59" s="5">
        <v>836.95</v>
      </c>
      <c r="T59" s="5">
        <v>183.75</v>
      </c>
      <c r="U59" s="5">
        <v>799.53</v>
      </c>
      <c r="V59" s="5">
        <f t="shared" si="18"/>
        <v>5916.88</v>
      </c>
    </row>
    <row r="60" ht="15.75" customHeight="1">
      <c r="A60" s="4"/>
      <c r="B60" s="4"/>
      <c r="C60" s="4"/>
      <c r="D60" s="4"/>
      <c r="E60" s="4"/>
      <c r="F60" s="4"/>
      <c r="G60" s="4" t="s">
        <v>71</v>
      </c>
      <c r="H60" s="4"/>
      <c r="I60" s="4"/>
      <c r="J60" s="5">
        <v>3068.85</v>
      </c>
      <c r="K60" s="5">
        <v>572.9</v>
      </c>
      <c r="L60" s="5">
        <v>2819.26</v>
      </c>
      <c r="M60" s="5">
        <v>786.14</v>
      </c>
      <c r="N60" s="5">
        <v>1332.91</v>
      </c>
      <c r="O60" s="5">
        <v>1890.12</v>
      </c>
      <c r="P60" s="5">
        <v>2001.77</v>
      </c>
      <c r="Q60" s="5">
        <v>3043.51</v>
      </c>
      <c r="R60" s="5">
        <v>654.15</v>
      </c>
      <c r="S60" s="5">
        <v>1530.33</v>
      </c>
      <c r="T60" s="5">
        <v>1595.18</v>
      </c>
      <c r="U60" s="5">
        <v>2237.45</v>
      </c>
      <c r="V60" s="5">
        <f t="shared" si="18"/>
        <v>21532.57</v>
      </c>
    </row>
    <row r="61" ht="15.75" customHeight="1">
      <c r="A61" s="4"/>
      <c r="B61" s="4"/>
      <c r="C61" s="4"/>
      <c r="D61" s="4"/>
      <c r="E61" s="4"/>
      <c r="F61" s="4" t="s">
        <v>72</v>
      </c>
      <c r="G61" s="4"/>
      <c r="H61" s="4"/>
      <c r="I61" s="4"/>
      <c r="J61" s="8">
        <f t="shared" ref="J61:U61" si="19">ROUND(SUM(J57:J60),5)</f>
        <v>3497.12</v>
      </c>
      <c r="K61" s="8">
        <f t="shared" si="19"/>
        <v>1501.07</v>
      </c>
      <c r="L61" s="8">
        <f t="shared" si="19"/>
        <v>3054.32</v>
      </c>
      <c r="M61" s="8">
        <f t="shared" si="19"/>
        <v>911.46</v>
      </c>
      <c r="N61" s="8">
        <f t="shared" si="19"/>
        <v>2492.52</v>
      </c>
      <c r="O61" s="8">
        <f t="shared" si="19"/>
        <v>1932.3</v>
      </c>
      <c r="P61" s="8">
        <f t="shared" si="19"/>
        <v>2433.99</v>
      </c>
      <c r="Q61" s="8">
        <f t="shared" si="19"/>
        <v>3511.95</v>
      </c>
      <c r="R61" s="8">
        <f t="shared" si="19"/>
        <v>1329.13</v>
      </c>
      <c r="S61" s="8">
        <f t="shared" si="19"/>
        <v>2367.28</v>
      </c>
      <c r="T61" s="8">
        <f t="shared" si="19"/>
        <v>1778.93</v>
      </c>
      <c r="U61" s="8">
        <f t="shared" si="19"/>
        <v>3036.98</v>
      </c>
      <c r="V61" s="8">
        <f t="shared" si="18"/>
        <v>27847.05</v>
      </c>
    </row>
    <row r="62" ht="15.75" customHeight="1">
      <c r="A62" s="4"/>
      <c r="B62" s="4"/>
      <c r="C62" s="4"/>
      <c r="D62" s="4"/>
      <c r="E62" s="4" t="s">
        <v>73</v>
      </c>
      <c r="F62" s="4"/>
      <c r="G62" s="4"/>
      <c r="H62" s="4"/>
      <c r="I62" s="4"/>
      <c r="J62" s="8">
        <f t="shared" ref="J62:U62" si="20">ROUND(J56+J61,5)</f>
        <v>3497.12</v>
      </c>
      <c r="K62" s="8">
        <f t="shared" si="20"/>
        <v>1501.07</v>
      </c>
      <c r="L62" s="8">
        <f t="shared" si="20"/>
        <v>3054.32</v>
      </c>
      <c r="M62" s="8">
        <f t="shared" si="20"/>
        <v>911.46</v>
      </c>
      <c r="N62" s="8">
        <f t="shared" si="20"/>
        <v>2492.52</v>
      </c>
      <c r="O62" s="8">
        <f t="shared" si="20"/>
        <v>1932.3</v>
      </c>
      <c r="P62" s="8">
        <f t="shared" si="20"/>
        <v>2433.99</v>
      </c>
      <c r="Q62" s="8">
        <f t="shared" si="20"/>
        <v>3511.95</v>
      </c>
      <c r="R62" s="8">
        <f t="shared" si="20"/>
        <v>1329.13</v>
      </c>
      <c r="S62" s="8">
        <f t="shared" si="20"/>
        <v>2367.28</v>
      </c>
      <c r="T62" s="8">
        <f t="shared" si="20"/>
        <v>1778.93</v>
      </c>
      <c r="U62" s="8">
        <f t="shared" si="20"/>
        <v>3036.98</v>
      </c>
      <c r="V62" s="8">
        <f t="shared" si="18"/>
        <v>27847.05</v>
      </c>
    </row>
    <row r="63" ht="15.75" customHeight="1">
      <c r="A63" s="4"/>
      <c r="B63" s="4"/>
      <c r="C63" s="4"/>
      <c r="D63" s="4" t="s">
        <v>74</v>
      </c>
      <c r="E63" s="4"/>
      <c r="F63" s="4"/>
      <c r="G63" s="4"/>
      <c r="H63" s="4"/>
      <c r="I63" s="4"/>
      <c r="J63" s="7">
        <f t="shared" ref="J63:U63" si="21">ROUND(J29+J55+J62,5)</f>
        <v>118239.6</v>
      </c>
      <c r="K63" s="7">
        <f t="shared" si="21"/>
        <v>112118.55</v>
      </c>
      <c r="L63" s="7">
        <f t="shared" si="21"/>
        <v>102282.52</v>
      </c>
      <c r="M63" s="7">
        <f t="shared" si="21"/>
        <v>106115.34</v>
      </c>
      <c r="N63" s="7">
        <f t="shared" si="21"/>
        <v>97989.86</v>
      </c>
      <c r="O63" s="7">
        <f t="shared" si="21"/>
        <v>101135.3</v>
      </c>
      <c r="P63" s="7">
        <f t="shared" si="21"/>
        <v>118163.09</v>
      </c>
      <c r="Q63" s="7">
        <f t="shared" si="21"/>
        <v>106919.82</v>
      </c>
      <c r="R63" s="7">
        <f t="shared" si="21"/>
        <v>123428.55</v>
      </c>
      <c r="S63" s="7">
        <f t="shared" si="21"/>
        <v>116040.06</v>
      </c>
      <c r="T63" s="7">
        <f t="shared" si="21"/>
        <v>132473.64</v>
      </c>
      <c r="U63" s="7">
        <f t="shared" si="21"/>
        <v>133936.61</v>
      </c>
      <c r="V63" s="7">
        <f t="shared" si="18"/>
        <v>1368842.94</v>
      </c>
    </row>
    <row r="64" ht="15.75" customHeight="1">
      <c r="A64" s="4"/>
      <c r="B64" s="4"/>
      <c r="C64" s="4" t="s">
        <v>75</v>
      </c>
      <c r="D64" s="4"/>
      <c r="E64" s="4"/>
      <c r="F64" s="4"/>
      <c r="G64" s="4"/>
      <c r="H64" s="4"/>
      <c r="I64" s="4"/>
      <c r="J64" s="5">
        <f t="shared" ref="J64:U64" si="22">ROUND(J28-J63,5)</f>
        <v>81080.67</v>
      </c>
      <c r="K64" s="5">
        <f t="shared" si="22"/>
        <v>107653.6</v>
      </c>
      <c r="L64" s="5">
        <f t="shared" si="22"/>
        <v>110069.99</v>
      </c>
      <c r="M64" s="5">
        <f t="shared" si="22"/>
        <v>78642.04</v>
      </c>
      <c r="N64" s="5">
        <f t="shared" si="22"/>
        <v>75746.95</v>
      </c>
      <c r="O64" s="5">
        <f t="shared" si="22"/>
        <v>83026.03</v>
      </c>
      <c r="P64" s="5">
        <f t="shared" si="22"/>
        <v>69486.57</v>
      </c>
      <c r="Q64" s="5">
        <f t="shared" si="22"/>
        <v>119761.02</v>
      </c>
      <c r="R64" s="5">
        <f t="shared" si="22"/>
        <v>106938.91</v>
      </c>
      <c r="S64" s="5">
        <f t="shared" si="22"/>
        <v>87262.1</v>
      </c>
      <c r="T64" s="5">
        <f t="shared" si="22"/>
        <v>116323.19</v>
      </c>
      <c r="U64" s="5">
        <f t="shared" si="22"/>
        <v>96604.99</v>
      </c>
      <c r="V64" s="5">
        <f t="shared" si="18"/>
        <v>1132596.06</v>
      </c>
    </row>
    <row r="65" ht="15.75" customHeight="1">
      <c r="A65" s="4"/>
      <c r="B65" s="4"/>
      <c r="C65" s="4"/>
      <c r="D65" s="4" t="s">
        <v>76</v>
      </c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4"/>
      <c r="B66" s="4"/>
      <c r="C66" s="4"/>
      <c r="D66" s="4"/>
      <c r="E66" s="4" t="s">
        <v>77</v>
      </c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4"/>
      <c r="B67" s="4"/>
      <c r="C67" s="4"/>
      <c r="D67" s="4"/>
      <c r="E67" s="4"/>
      <c r="F67" s="4" t="s">
        <v>78</v>
      </c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4"/>
      <c r="B68" s="4"/>
      <c r="C68" s="4"/>
      <c r="D68" s="4"/>
      <c r="E68" s="4"/>
      <c r="F68" s="4"/>
      <c r="G68" s="4" t="s">
        <v>79</v>
      </c>
      <c r="H68" s="4"/>
      <c r="I68" s="4"/>
      <c r="J68" s="5">
        <v>343.19</v>
      </c>
      <c r="K68" s="5">
        <v>578.12</v>
      </c>
      <c r="L68" s="5">
        <v>594.1</v>
      </c>
      <c r="M68" s="5">
        <v>621.88</v>
      </c>
      <c r="N68" s="5">
        <v>2010.37</v>
      </c>
      <c r="O68" s="5">
        <v>403.79</v>
      </c>
      <c r="P68" s="5">
        <v>129.19</v>
      </c>
      <c r="Q68" s="5">
        <v>145.86</v>
      </c>
      <c r="R68" s="5">
        <v>810.54</v>
      </c>
      <c r="S68" s="5">
        <v>254.49</v>
      </c>
      <c r="T68" s="5">
        <v>734.37</v>
      </c>
      <c r="U68" s="5">
        <v>176.06</v>
      </c>
      <c r="V68" s="5">
        <f t="shared" ref="V68:V70" si="23">ROUND(SUM(J68:U68),5)</f>
        <v>6801.96</v>
      </c>
    </row>
    <row r="69" ht="15.75" customHeight="1">
      <c r="A69" s="4"/>
      <c r="B69" s="4"/>
      <c r="C69" s="4"/>
      <c r="D69" s="4"/>
      <c r="E69" s="4"/>
      <c r="F69" s="4"/>
      <c r="G69" s="4" t="s">
        <v>80</v>
      </c>
      <c r="H69" s="4"/>
      <c r="I69" s="4"/>
      <c r="J69" s="6">
        <v>31.9</v>
      </c>
      <c r="K69" s="6">
        <v>0.0</v>
      </c>
      <c r="L69" s="6">
        <v>0.0</v>
      </c>
      <c r="M69" s="6">
        <v>21.97</v>
      </c>
      <c r="N69" s="6">
        <v>100.0</v>
      </c>
      <c r="O69" s="6">
        <v>0.0</v>
      </c>
      <c r="P69" s="6">
        <v>100.95</v>
      </c>
      <c r="Q69" s="6">
        <v>0.0</v>
      </c>
      <c r="R69" s="6">
        <v>141.26</v>
      </c>
      <c r="S69" s="6">
        <v>0.0</v>
      </c>
      <c r="T69" s="6">
        <v>35.33</v>
      </c>
      <c r="U69" s="6">
        <v>55.16</v>
      </c>
      <c r="V69" s="6">
        <f t="shared" si="23"/>
        <v>486.57</v>
      </c>
    </row>
    <row r="70" ht="15.75" customHeight="1">
      <c r="A70" s="4"/>
      <c r="B70" s="4"/>
      <c r="C70" s="4"/>
      <c r="D70" s="4"/>
      <c r="E70" s="4"/>
      <c r="F70" s="4" t="s">
        <v>81</v>
      </c>
      <c r="G70" s="4"/>
      <c r="H70" s="4"/>
      <c r="I70" s="4"/>
      <c r="J70" s="5">
        <f t="shared" ref="J70:U70" si="24">ROUND(SUM(J67:J69),5)</f>
        <v>375.09</v>
      </c>
      <c r="K70" s="5">
        <f t="shared" si="24"/>
        <v>578.12</v>
      </c>
      <c r="L70" s="5">
        <f t="shared" si="24"/>
        <v>594.1</v>
      </c>
      <c r="M70" s="5">
        <f t="shared" si="24"/>
        <v>643.85</v>
      </c>
      <c r="N70" s="5">
        <f t="shared" si="24"/>
        <v>2110.37</v>
      </c>
      <c r="O70" s="5">
        <f t="shared" si="24"/>
        <v>403.79</v>
      </c>
      <c r="P70" s="5">
        <f t="shared" si="24"/>
        <v>230.14</v>
      </c>
      <c r="Q70" s="5">
        <f t="shared" si="24"/>
        <v>145.86</v>
      </c>
      <c r="R70" s="5">
        <f t="shared" si="24"/>
        <v>951.8</v>
      </c>
      <c r="S70" s="5">
        <f t="shared" si="24"/>
        <v>254.49</v>
      </c>
      <c r="T70" s="5">
        <f t="shared" si="24"/>
        <v>769.7</v>
      </c>
      <c r="U70" s="5">
        <f t="shared" si="24"/>
        <v>231.22</v>
      </c>
      <c r="V70" s="5">
        <f t="shared" si="23"/>
        <v>7288.53</v>
      </c>
    </row>
    <row r="71" ht="15.75" customHeight="1">
      <c r="A71" s="4"/>
      <c r="B71" s="4"/>
      <c r="C71" s="4"/>
      <c r="D71" s="4"/>
      <c r="E71" s="4"/>
      <c r="F71" s="4" t="s">
        <v>82</v>
      </c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4"/>
      <c r="B72" s="4"/>
      <c r="C72" s="4"/>
      <c r="D72" s="4"/>
      <c r="E72" s="4"/>
      <c r="F72" s="4"/>
      <c r="G72" s="4" t="s">
        <v>83</v>
      </c>
      <c r="H72" s="4"/>
      <c r="I72" s="4"/>
      <c r="J72" s="5">
        <v>121.73</v>
      </c>
      <c r="K72" s="5">
        <v>121.73</v>
      </c>
      <c r="L72" s="5">
        <v>121.73</v>
      </c>
      <c r="M72" s="5">
        <v>111.99</v>
      </c>
      <c r="N72" s="5">
        <v>243.46</v>
      </c>
      <c r="O72" s="5">
        <v>121.73</v>
      </c>
      <c r="P72" s="5">
        <v>121.73</v>
      </c>
      <c r="Q72" s="5">
        <v>121.73</v>
      </c>
      <c r="R72" s="5">
        <v>121.73</v>
      </c>
      <c r="S72" s="5">
        <v>243.46</v>
      </c>
      <c r="T72" s="5">
        <v>121.73</v>
      </c>
      <c r="U72" s="5">
        <v>121.73</v>
      </c>
      <c r="V72" s="5">
        <f t="shared" ref="V72:V75" si="25">ROUND(SUM(J72:U72),5)</f>
        <v>1694.48</v>
      </c>
    </row>
    <row r="73" ht="15.75" customHeight="1">
      <c r="A73" s="4"/>
      <c r="B73" s="4"/>
      <c r="C73" s="4"/>
      <c r="D73" s="4"/>
      <c r="E73" s="4"/>
      <c r="F73" s="4"/>
      <c r="G73" s="4" t="s">
        <v>84</v>
      </c>
      <c r="H73" s="4"/>
      <c r="I73" s="4"/>
      <c r="J73" s="5">
        <v>541.14</v>
      </c>
      <c r="K73" s="5">
        <v>567.51</v>
      </c>
      <c r="L73" s="5">
        <v>531.0</v>
      </c>
      <c r="M73" s="5">
        <v>789.83</v>
      </c>
      <c r="N73" s="5">
        <v>967.54</v>
      </c>
      <c r="O73" s="5">
        <v>241.65</v>
      </c>
      <c r="P73" s="5">
        <v>650.4</v>
      </c>
      <c r="Q73" s="5">
        <v>640.5</v>
      </c>
      <c r="R73" s="5">
        <v>694.58</v>
      </c>
      <c r="S73" s="5">
        <v>694.58</v>
      </c>
      <c r="T73" s="5">
        <v>694.58</v>
      </c>
      <c r="U73" s="5">
        <v>631.09</v>
      </c>
      <c r="V73" s="5">
        <f t="shared" si="25"/>
        <v>7644.4</v>
      </c>
    </row>
    <row r="74" ht="15.75" customHeight="1">
      <c r="A74" s="4"/>
      <c r="B74" s="4"/>
      <c r="C74" s="4"/>
      <c r="D74" s="4"/>
      <c r="E74" s="4"/>
      <c r="F74" s="4"/>
      <c r="G74" s="4" t="s">
        <v>85</v>
      </c>
      <c r="H74" s="4"/>
      <c r="I74" s="4"/>
      <c r="J74" s="6">
        <v>543.59</v>
      </c>
      <c r="K74" s="6">
        <v>543.59</v>
      </c>
      <c r="L74" s="6">
        <v>870.92</v>
      </c>
      <c r="M74" s="6">
        <v>675.19</v>
      </c>
      <c r="N74" s="6">
        <v>675.19</v>
      </c>
      <c r="O74" s="6">
        <v>675.19</v>
      </c>
      <c r="P74" s="6">
        <v>675.19</v>
      </c>
      <c r="Q74" s="6">
        <v>711.24</v>
      </c>
      <c r="R74" s="6">
        <v>598.86</v>
      </c>
      <c r="S74" s="6">
        <v>675.19</v>
      </c>
      <c r="T74" s="6">
        <v>675.19</v>
      </c>
      <c r="U74" s="6">
        <v>675.19</v>
      </c>
      <c r="V74" s="6">
        <f t="shared" si="25"/>
        <v>7994.53</v>
      </c>
    </row>
    <row r="75" ht="15.75" customHeight="1">
      <c r="A75" s="4"/>
      <c r="B75" s="4"/>
      <c r="C75" s="4"/>
      <c r="D75" s="4"/>
      <c r="E75" s="4"/>
      <c r="F75" s="4" t="s">
        <v>86</v>
      </c>
      <c r="G75" s="4"/>
      <c r="H75" s="4"/>
      <c r="I75" s="4"/>
      <c r="J75" s="5">
        <f t="shared" ref="J75:U75" si="26">ROUND(SUM(J71:J74),5)</f>
        <v>1206.46</v>
      </c>
      <c r="K75" s="5">
        <f t="shared" si="26"/>
        <v>1232.83</v>
      </c>
      <c r="L75" s="5">
        <f t="shared" si="26"/>
        <v>1523.65</v>
      </c>
      <c r="M75" s="5">
        <f t="shared" si="26"/>
        <v>1577.01</v>
      </c>
      <c r="N75" s="5">
        <f t="shared" si="26"/>
        <v>1886.19</v>
      </c>
      <c r="O75" s="5">
        <f t="shared" si="26"/>
        <v>1038.57</v>
      </c>
      <c r="P75" s="5">
        <f t="shared" si="26"/>
        <v>1447.32</v>
      </c>
      <c r="Q75" s="5">
        <f t="shared" si="26"/>
        <v>1473.47</v>
      </c>
      <c r="R75" s="5">
        <f t="shared" si="26"/>
        <v>1415.17</v>
      </c>
      <c r="S75" s="5">
        <f t="shared" si="26"/>
        <v>1613.23</v>
      </c>
      <c r="T75" s="5">
        <f t="shared" si="26"/>
        <v>1491.5</v>
      </c>
      <c r="U75" s="5">
        <f t="shared" si="26"/>
        <v>1428.01</v>
      </c>
      <c r="V75" s="5">
        <f t="shared" si="25"/>
        <v>17333.41</v>
      </c>
    </row>
    <row r="76" ht="15.75" customHeight="1">
      <c r="A76" s="4"/>
      <c r="B76" s="4"/>
      <c r="C76" s="4"/>
      <c r="D76" s="4"/>
      <c r="E76" s="4"/>
      <c r="F76" s="4" t="s">
        <v>87</v>
      </c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4"/>
      <c r="B77" s="4"/>
      <c r="C77" s="4"/>
      <c r="D77" s="4"/>
      <c r="E77" s="4"/>
      <c r="F77" s="4"/>
      <c r="G77" s="4" t="s">
        <v>88</v>
      </c>
      <c r="H77" s="4"/>
      <c r="I77" s="4"/>
      <c r="J77" s="5">
        <v>0.0</v>
      </c>
      <c r="K77" s="5">
        <v>17.1</v>
      </c>
      <c r="L77" s="5">
        <v>209.52</v>
      </c>
      <c r="M77" s="5">
        <v>484.04</v>
      </c>
      <c r="N77" s="5">
        <v>12.43</v>
      </c>
      <c r="O77" s="5">
        <v>4.99</v>
      </c>
      <c r="P77" s="5">
        <v>13.78</v>
      </c>
      <c r="Q77" s="5">
        <v>0.0</v>
      </c>
      <c r="R77" s="5">
        <v>0.0</v>
      </c>
      <c r="S77" s="5">
        <v>34.78</v>
      </c>
      <c r="T77" s="5">
        <v>0.0</v>
      </c>
      <c r="U77" s="5">
        <v>77.25</v>
      </c>
      <c r="V77" s="5">
        <f t="shared" ref="V77:V82" si="27">ROUND(SUM(J77:U77),5)</f>
        <v>853.89</v>
      </c>
    </row>
    <row r="78" ht="15.75" customHeight="1">
      <c r="A78" s="4"/>
      <c r="B78" s="4"/>
      <c r="C78" s="4"/>
      <c r="D78" s="4"/>
      <c r="E78" s="4"/>
      <c r="F78" s="4"/>
      <c r="G78" s="4" t="s">
        <v>89</v>
      </c>
      <c r="H78" s="4"/>
      <c r="I78" s="4"/>
      <c r="J78" s="5">
        <v>93.24</v>
      </c>
      <c r="K78" s="5">
        <v>3.9</v>
      </c>
      <c r="L78" s="5">
        <v>55.86</v>
      </c>
      <c r="M78" s="5">
        <v>154.72</v>
      </c>
      <c r="N78" s="5">
        <v>87.62</v>
      </c>
      <c r="O78" s="5">
        <v>43.24</v>
      </c>
      <c r="P78" s="5">
        <v>9.99</v>
      </c>
      <c r="Q78" s="5">
        <v>37.22</v>
      </c>
      <c r="R78" s="5">
        <v>153.84</v>
      </c>
      <c r="S78" s="5">
        <v>538.13</v>
      </c>
      <c r="T78" s="5">
        <v>224.96</v>
      </c>
      <c r="U78" s="5">
        <v>183.23</v>
      </c>
      <c r="V78" s="5">
        <f t="shared" si="27"/>
        <v>1585.95</v>
      </c>
    </row>
    <row r="79" ht="15.75" customHeight="1">
      <c r="A79" s="4"/>
      <c r="B79" s="4"/>
      <c r="C79" s="4"/>
      <c r="D79" s="4"/>
      <c r="E79" s="4"/>
      <c r="F79" s="4"/>
      <c r="G79" s="4" t="s">
        <v>90</v>
      </c>
      <c r="H79" s="4"/>
      <c r="I79" s="4"/>
      <c r="J79" s="6">
        <v>323.63</v>
      </c>
      <c r="K79" s="6">
        <v>130.56</v>
      </c>
      <c r="L79" s="6">
        <v>9.99</v>
      </c>
      <c r="M79" s="6">
        <v>42.96</v>
      </c>
      <c r="N79" s="6">
        <v>0.0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f t="shared" si="27"/>
        <v>507.14</v>
      </c>
    </row>
    <row r="80" ht="15.75" customHeight="1">
      <c r="A80" s="4"/>
      <c r="B80" s="4"/>
      <c r="C80" s="4"/>
      <c r="D80" s="4"/>
      <c r="E80" s="4"/>
      <c r="F80" s="4" t="s">
        <v>91</v>
      </c>
      <c r="G80" s="4"/>
      <c r="H80" s="4"/>
      <c r="I80" s="4"/>
      <c r="J80" s="5">
        <f t="shared" ref="J80:U80" si="28">ROUND(SUM(J76:J79),5)</f>
        <v>416.87</v>
      </c>
      <c r="K80" s="5">
        <f t="shared" si="28"/>
        <v>151.56</v>
      </c>
      <c r="L80" s="5">
        <f t="shared" si="28"/>
        <v>275.37</v>
      </c>
      <c r="M80" s="5">
        <f t="shared" si="28"/>
        <v>681.72</v>
      </c>
      <c r="N80" s="5">
        <f t="shared" si="28"/>
        <v>100.05</v>
      </c>
      <c r="O80" s="5">
        <f t="shared" si="28"/>
        <v>48.23</v>
      </c>
      <c r="P80" s="5">
        <f t="shared" si="28"/>
        <v>23.77</v>
      </c>
      <c r="Q80" s="5">
        <f t="shared" si="28"/>
        <v>37.22</v>
      </c>
      <c r="R80" s="5">
        <f t="shared" si="28"/>
        <v>153.84</v>
      </c>
      <c r="S80" s="5">
        <f t="shared" si="28"/>
        <v>572.91</v>
      </c>
      <c r="T80" s="5">
        <f t="shared" si="28"/>
        <v>224.96</v>
      </c>
      <c r="U80" s="5">
        <f t="shared" si="28"/>
        <v>260.48</v>
      </c>
      <c r="V80" s="5">
        <f t="shared" si="27"/>
        <v>2946.98</v>
      </c>
    </row>
    <row r="81" ht="15.75" customHeight="1">
      <c r="A81" s="4"/>
      <c r="B81" s="4"/>
      <c r="C81" s="4"/>
      <c r="D81" s="4"/>
      <c r="E81" s="4"/>
      <c r="F81" s="4" t="s">
        <v>92</v>
      </c>
      <c r="G81" s="4"/>
      <c r="H81" s="4"/>
      <c r="I81" s="4"/>
      <c r="J81" s="6">
        <v>52.71</v>
      </c>
      <c r="K81" s="6">
        <v>50.64</v>
      </c>
      <c r="L81" s="6">
        <v>10.58</v>
      </c>
      <c r="M81" s="6">
        <v>49.95</v>
      </c>
      <c r="N81" s="6">
        <v>133.63</v>
      </c>
      <c r="O81" s="6">
        <v>67.72</v>
      </c>
      <c r="P81" s="6">
        <v>92.33</v>
      </c>
      <c r="Q81" s="6">
        <v>135.27</v>
      </c>
      <c r="R81" s="6">
        <v>129.92</v>
      </c>
      <c r="S81" s="6">
        <v>126.07</v>
      </c>
      <c r="T81" s="6">
        <v>124.57</v>
      </c>
      <c r="U81" s="6">
        <v>135.36</v>
      </c>
      <c r="V81" s="6">
        <f t="shared" si="27"/>
        <v>1108.75</v>
      </c>
    </row>
    <row r="82" ht="15.75" customHeight="1">
      <c r="A82" s="4"/>
      <c r="B82" s="4"/>
      <c r="C82" s="4"/>
      <c r="D82" s="4"/>
      <c r="E82" s="4" t="s">
        <v>93</v>
      </c>
      <c r="F82" s="4"/>
      <c r="G82" s="4"/>
      <c r="H82" s="4"/>
      <c r="I82" s="4"/>
      <c r="J82" s="5">
        <f t="shared" ref="J82:U82" si="29">ROUND(J66+J70+J75+SUM(J80:J81),5)</f>
        <v>2051.13</v>
      </c>
      <c r="K82" s="5">
        <f t="shared" si="29"/>
        <v>2013.15</v>
      </c>
      <c r="L82" s="5">
        <f t="shared" si="29"/>
        <v>2403.7</v>
      </c>
      <c r="M82" s="5">
        <f t="shared" si="29"/>
        <v>2952.53</v>
      </c>
      <c r="N82" s="5">
        <f t="shared" si="29"/>
        <v>4230.24</v>
      </c>
      <c r="O82" s="5">
        <f t="shared" si="29"/>
        <v>1558.31</v>
      </c>
      <c r="P82" s="5">
        <f t="shared" si="29"/>
        <v>1793.56</v>
      </c>
      <c r="Q82" s="5">
        <f t="shared" si="29"/>
        <v>1791.82</v>
      </c>
      <c r="R82" s="5">
        <f t="shared" si="29"/>
        <v>2650.73</v>
      </c>
      <c r="S82" s="5">
        <f t="shared" si="29"/>
        <v>2566.7</v>
      </c>
      <c r="T82" s="5">
        <f t="shared" si="29"/>
        <v>2610.73</v>
      </c>
      <c r="U82" s="5">
        <f t="shared" si="29"/>
        <v>2055.07</v>
      </c>
      <c r="V82" s="5">
        <f t="shared" si="27"/>
        <v>28677.67</v>
      </c>
    </row>
    <row r="83" ht="15.75" customHeight="1">
      <c r="A83" s="4"/>
      <c r="B83" s="4"/>
      <c r="C83" s="4"/>
      <c r="D83" s="4"/>
      <c r="E83" s="4" t="s">
        <v>94</v>
      </c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4"/>
      <c r="B84" s="4"/>
      <c r="C84" s="4"/>
      <c r="D84" s="4"/>
      <c r="E84" s="4"/>
      <c r="F84" s="4" t="s">
        <v>95</v>
      </c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4"/>
      <c r="B85" s="4"/>
      <c r="C85" s="4"/>
      <c r="D85" s="4"/>
      <c r="E85" s="4"/>
      <c r="F85" s="4"/>
      <c r="G85" s="4" t="s">
        <v>96</v>
      </c>
      <c r="H85" s="4"/>
      <c r="I85" s="4"/>
      <c r="J85" s="5">
        <v>841.63</v>
      </c>
      <c r="K85" s="5">
        <v>935.04</v>
      </c>
      <c r="L85" s="5">
        <v>962.48</v>
      </c>
      <c r="M85" s="5">
        <v>787.48</v>
      </c>
      <c r="N85" s="5">
        <v>782.9</v>
      </c>
      <c r="O85" s="5">
        <v>859.0</v>
      </c>
      <c r="P85" s="5">
        <v>838.87</v>
      </c>
      <c r="Q85" s="5">
        <v>933.86</v>
      </c>
      <c r="R85" s="5">
        <v>985.95</v>
      </c>
      <c r="S85" s="5">
        <v>883.86</v>
      </c>
      <c r="T85" s="5">
        <v>1090.58</v>
      </c>
      <c r="U85" s="5">
        <v>997.85</v>
      </c>
      <c r="V85" s="5">
        <f t="shared" ref="V85:V90" si="30">ROUND(SUM(J85:U85),5)</f>
        <v>10899.5</v>
      </c>
    </row>
    <row r="86" ht="15.75" customHeight="1">
      <c r="A86" s="4"/>
      <c r="B86" s="4"/>
      <c r="C86" s="4"/>
      <c r="D86" s="4"/>
      <c r="E86" s="4"/>
      <c r="F86" s="4"/>
      <c r="G86" s="4" t="s">
        <v>97</v>
      </c>
      <c r="H86" s="4"/>
      <c r="I86" s="4"/>
      <c r="J86" s="5">
        <v>0.0</v>
      </c>
      <c r="K86" s="5">
        <v>0.0</v>
      </c>
      <c r="L86" s="5">
        <v>0.0</v>
      </c>
      <c r="M86" s="5">
        <v>1010.34</v>
      </c>
      <c r="N86" s="5">
        <v>0.0</v>
      </c>
      <c r="O86" s="5">
        <v>642.0</v>
      </c>
      <c r="P86" s="5">
        <v>0.0</v>
      </c>
      <c r="Q86" s="5">
        <v>0.0</v>
      </c>
      <c r="R86" s="5">
        <v>204.0</v>
      </c>
      <c r="S86" s="5">
        <v>0.0</v>
      </c>
      <c r="T86" s="5">
        <v>0.0</v>
      </c>
      <c r="U86" s="5">
        <v>0.0</v>
      </c>
      <c r="V86" s="5">
        <f t="shared" si="30"/>
        <v>1856.34</v>
      </c>
    </row>
    <row r="87" ht="15.75" customHeight="1">
      <c r="A87" s="4"/>
      <c r="B87" s="4"/>
      <c r="C87" s="4"/>
      <c r="D87" s="4"/>
      <c r="E87" s="4"/>
      <c r="F87" s="4"/>
      <c r="G87" s="4" t="s">
        <v>98</v>
      </c>
      <c r="H87" s="4"/>
      <c r="I87" s="4"/>
      <c r="J87" s="5">
        <v>0.0</v>
      </c>
      <c r="K87" s="5">
        <v>0.0</v>
      </c>
      <c r="L87" s="5">
        <v>0.0</v>
      </c>
      <c r="M87" s="5">
        <v>0.0</v>
      </c>
      <c r="N87" s="5">
        <v>1468.15</v>
      </c>
      <c r="O87" s="5">
        <v>1468.15</v>
      </c>
      <c r="P87" s="5">
        <v>1468.15</v>
      </c>
      <c r="Q87" s="5">
        <v>1468.15</v>
      </c>
      <c r="R87" s="5">
        <v>1468.15</v>
      </c>
      <c r="S87" s="5">
        <v>1468.15</v>
      </c>
      <c r="T87" s="5">
        <v>1468.15</v>
      </c>
      <c r="U87" s="5">
        <v>1468.15</v>
      </c>
      <c r="V87" s="5">
        <f t="shared" si="30"/>
        <v>11745.2</v>
      </c>
    </row>
    <row r="88" ht="15.75" customHeight="1">
      <c r="A88" s="4"/>
      <c r="B88" s="4"/>
      <c r="C88" s="4"/>
      <c r="D88" s="4"/>
      <c r="E88" s="4"/>
      <c r="F88" s="4"/>
      <c r="G88" s="4" t="s">
        <v>99</v>
      </c>
      <c r="H88" s="4"/>
      <c r="I88" s="4"/>
      <c r="J88" s="5">
        <v>3437.53</v>
      </c>
      <c r="K88" s="5">
        <v>3814.96</v>
      </c>
      <c r="L88" s="5">
        <v>3928.32</v>
      </c>
      <c r="M88" s="5">
        <v>3211.59</v>
      </c>
      <c r="N88" s="5">
        <v>3195.15</v>
      </c>
      <c r="O88" s="5">
        <v>3505.18</v>
      </c>
      <c r="P88" s="5">
        <v>3419.03</v>
      </c>
      <c r="Q88" s="5">
        <v>3809.48</v>
      </c>
      <c r="R88" s="5">
        <v>4023.22</v>
      </c>
      <c r="S88" s="5">
        <v>3604.45</v>
      </c>
      <c r="T88" s="5">
        <v>4453.67</v>
      </c>
      <c r="U88" s="5">
        <v>4074.35</v>
      </c>
      <c r="V88" s="5">
        <f t="shared" si="30"/>
        <v>44476.93</v>
      </c>
    </row>
    <row r="89" ht="15.75" customHeight="1">
      <c r="A89" s="4"/>
      <c r="B89" s="4"/>
      <c r="C89" s="4"/>
      <c r="D89" s="4"/>
      <c r="E89" s="4"/>
      <c r="F89" s="4"/>
      <c r="G89" s="4" t="s">
        <v>100</v>
      </c>
      <c r="H89" s="4"/>
      <c r="I89" s="4"/>
      <c r="J89" s="6">
        <v>7.48</v>
      </c>
      <c r="K89" s="6">
        <v>38.43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2.0</v>
      </c>
      <c r="R89" s="6">
        <v>0.0</v>
      </c>
      <c r="S89" s="6">
        <v>0.0</v>
      </c>
      <c r="T89" s="6">
        <v>5.74</v>
      </c>
      <c r="U89" s="6">
        <v>0.0</v>
      </c>
      <c r="V89" s="6">
        <f t="shared" si="30"/>
        <v>53.65</v>
      </c>
    </row>
    <row r="90" ht="15.75" customHeight="1">
      <c r="A90" s="4"/>
      <c r="B90" s="4"/>
      <c r="C90" s="4"/>
      <c r="D90" s="4"/>
      <c r="E90" s="4"/>
      <c r="F90" s="4" t="s">
        <v>101</v>
      </c>
      <c r="G90" s="4"/>
      <c r="H90" s="4"/>
      <c r="I90" s="4"/>
      <c r="J90" s="5">
        <f t="shared" ref="J90:U90" si="31">ROUND(SUM(J84:J89),5)</f>
        <v>4286.64</v>
      </c>
      <c r="K90" s="5">
        <f t="shared" si="31"/>
        <v>4788.43</v>
      </c>
      <c r="L90" s="5">
        <f t="shared" si="31"/>
        <v>4890.8</v>
      </c>
      <c r="M90" s="5">
        <f t="shared" si="31"/>
        <v>5009.41</v>
      </c>
      <c r="N90" s="5">
        <f t="shared" si="31"/>
        <v>5446.2</v>
      </c>
      <c r="O90" s="5">
        <f t="shared" si="31"/>
        <v>6474.33</v>
      </c>
      <c r="P90" s="5">
        <f t="shared" si="31"/>
        <v>5726.05</v>
      </c>
      <c r="Q90" s="5">
        <f t="shared" si="31"/>
        <v>6213.49</v>
      </c>
      <c r="R90" s="5">
        <f t="shared" si="31"/>
        <v>6681.32</v>
      </c>
      <c r="S90" s="5">
        <f t="shared" si="31"/>
        <v>5956.46</v>
      </c>
      <c r="T90" s="5">
        <f t="shared" si="31"/>
        <v>7018.14</v>
      </c>
      <c r="U90" s="5">
        <f t="shared" si="31"/>
        <v>6540.35</v>
      </c>
      <c r="V90" s="5">
        <f t="shared" si="30"/>
        <v>69031.62</v>
      </c>
    </row>
    <row r="91" ht="15.75" customHeight="1">
      <c r="A91" s="4"/>
      <c r="B91" s="4"/>
      <c r="C91" s="4"/>
      <c r="D91" s="4"/>
      <c r="E91" s="4"/>
      <c r="F91" s="4" t="s">
        <v>102</v>
      </c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4"/>
      <c r="B92" s="4"/>
      <c r="C92" s="4"/>
      <c r="D92" s="4"/>
      <c r="E92" s="4"/>
      <c r="F92" s="4"/>
      <c r="G92" s="4" t="s">
        <v>103</v>
      </c>
      <c r="H92" s="4"/>
      <c r="I92" s="4"/>
      <c r="J92" s="5">
        <v>79.68</v>
      </c>
      <c r="K92" s="5">
        <v>68.69</v>
      </c>
      <c r="L92" s="5">
        <v>199.3</v>
      </c>
      <c r="M92" s="5">
        <v>58.27</v>
      </c>
      <c r="N92" s="5">
        <v>53.35</v>
      </c>
      <c r="O92" s="5">
        <v>60.91</v>
      </c>
      <c r="P92" s="5">
        <v>91.92</v>
      </c>
      <c r="Q92" s="5">
        <v>72.54</v>
      </c>
      <c r="R92" s="5">
        <v>85.71</v>
      </c>
      <c r="S92" s="5">
        <v>158.15</v>
      </c>
      <c r="T92" s="5">
        <v>74.77</v>
      </c>
      <c r="U92" s="5">
        <v>82.87</v>
      </c>
      <c r="V92" s="5">
        <f t="shared" ref="V92:V96" si="32">ROUND(SUM(J92:U92),5)</f>
        <v>1086.16</v>
      </c>
    </row>
    <row r="93" ht="15.75" customHeight="1">
      <c r="A93" s="4"/>
      <c r="B93" s="4"/>
      <c r="C93" s="4"/>
      <c r="D93" s="4"/>
      <c r="E93" s="4"/>
      <c r="F93" s="4"/>
      <c r="G93" s="4" t="s">
        <v>104</v>
      </c>
      <c r="H93" s="4"/>
      <c r="I93" s="4"/>
      <c r="J93" s="5">
        <v>6073.89</v>
      </c>
      <c r="K93" s="5">
        <v>5514.89</v>
      </c>
      <c r="L93" s="5">
        <v>6985.41</v>
      </c>
      <c r="M93" s="5">
        <v>6744.85</v>
      </c>
      <c r="N93" s="5">
        <v>5394.75</v>
      </c>
      <c r="O93" s="5">
        <v>5380.26</v>
      </c>
      <c r="P93" s="5">
        <v>5919.16</v>
      </c>
      <c r="Q93" s="5">
        <v>5671.47</v>
      </c>
      <c r="R93" s="5">
        <v>6278.72</v>
      </c>
      <c r="S93" s="5">
        <v>6817.58</v>
      </c>
      <c r="T93" s="5">
        <v>6273.99</v>
      </c>
      <c r="U93" s="5">
        <v>8014.31</v>
      </c>
      <c r="V93" s="5">
        <f t="shared" si="32"/>
        <v>75069.28</v>
      </c>
    </row>
    <row r="94" ht="15.75" customHeight="1">
      <c r="A94" s="4"/>
      <c r="B94" s="4"/>
      <c r="C94" s="4"/>
      <c r="D94" s="4"/>
      <c r="E94" s="4"/>
      <c r="F94" s="4"/>
      <c r="G94" s="4" t="s">
        <v>105</v>
      </c>
      <c r="H94" s="4"/>
      <c r="I94" s="4"/>
      <c r="J94" s="5">
        <v>2113.02</v>
      </c>
      <c r="K94" s="5">
        <v>1210.37</v>
      </c>
      <c r="L94" s="5">
        <v>1241.4</v>
      </c>
      <c r="M94" s="5">
        <v>1241.4</v>
      </c>
      <c r="N94" s="5">
        <v>1520.72</v>
      </c>
      <c r="O94" s="5">
        <v>1474.08</v>
      </c>
      <c r="P94" s="5">
        <v>1474.08</v>
      </c>
      <c r="Q94" s="5">
        <v>1366.65</v>
      </c>
      <c r="R94" s="5">
        <v>3445.4</v>
      </c>
      <c r="S94" s="5">
        <v>1445.4</v>
      </c>
      <c r="T94" s="5">
        <v>1445.4</v>
      </c>
      <c r="U94" s="5">
        <v>1367.83</v>
      </c>
      <c r="V94" s="5">
        <f t="shared" si="32"/>
        <v>19345.75</v>
      </c>
    </row>
    <row r="95" ht="15.75" customHeight="1">
      <c r="A95" s="4"/>
      <c r="B95" s="4"/>
      <c r="C95" s="4"/>
      <c r="D95" s="4"/>
      <c r="E95" s="4"/>
      <c r="F95" s="4" t="s">
        <v>106</v>
      </c>
      <c r="G95" s="4"/>
      <c r="H95" s="4"/>
      <c r="I95" s="4"/>
      <c r="J95" s="7">
        <f t="shared" ref="J95:U95" si="33">ROUND(SUM(J91:J94),5)</f>
        <v>8266.59</v>
      </c>
      <c r="K95" s="7">
        <f t="shared" si="33"/>
        <v>6793.95</v>
      </c>
      <c r="L95" s="7">
        <f t="shared" si="33"/>
        <v>8426.11</v>
      </c>
      <c r="M95" s="7">
        <f t="shared" si="33"/>
        <v>8044.52</v>
      </c>
      <c r="N95" s="7">
        <f t="shared" si="33"/>
        <v>6968.82</v>
      </c>
      <c r="O95" s="7">
        <f t="shared" si="33"/>
        <v>6915.25</v>
      </c>
      <c r="P95" s="7">
        <f t="shared" si="33"/>
        <v>7485.16</v>
      </c>
      <c r="Q95" s="7">
        <f t="shared" si="33"/>
        <v>7110.66</v>
      </c>
      <c r="R95" s="7">
        <f t="shared" si="33"/>
        <v>9809.83</v>
      </c>
      <c r="S95" s="7">
        <f t="shared" si="33"/>
        <v>8421.13</v>
      </c>
      <c r="T95" s="7">
        <f t="shared" si="33"/>
        <v>7794.16</v>
      </c>
      <c r="U95" s="7">
        <f t="shared" si="33"/>
        <v>9465.01</v>
      </c>
      <c r="V95" s="7">
        <f t="shared" si="32"/>
        <v>95501.19</v>
      </c>
    </row>
    <row r="96" ht="15.75" customHeight="1">
      <c r="A96" s="4"/>
      <c r="B96" s="4"/>
      <c r="C96" s="4"/>
      <c r="D96" s="4"/>
      <c r="E96" s="4" t="s">
        <v>107</v>
      </c>
      <c r="F96" s="4"/>
      <c r="G96" s="4"/>
      <c r="H96" s="4"/>
      <c r="I96" s="4"/>
      <c r="J96" s="5">
        <f t="shared" ref="J96:U96" si="34">ROUND(J83+J90+J95,5)</f>
        <v>12553.23</v>
      </c>
      <c r="K96" s="5">
        <f t="shared" si="34"/>
        <v>11582.38</v>
      </c>
      <c r="L96" s="5">
        <f t="shared" si="34"/>
        <v>13316.91</v>
      </c>
      <c r="M96" s="5">
        <f t="shared" si="34"/>
        <v>13053.93</v>
      </c>
      <c r="N96" s="5">
        <f t="shared" si="34"/>
        <v>12415.02</v>
      </c>
      <c r="O96" s="5">
        <f t="shared" si="34"/>
        <v>13389.58</v>
      </c>
      <c r="P96" s="5">
        <f t="shared" si="34"/>
        <v>13211.21</v>
      </c>
      <c r="Q96" s="5">
        <f t="shared" si="34"/>
        <v>13324.15</v>
      </c>
      <c r="R96" s="5">
        <f t="shared" si="34"/>
        <v>16491.15</v>
      </c>
      <c r="S96" s="5">
        <f t="shared" si="34"/>
        <v>14377.59</v>
      </c>
      <c r="T96" s="5">
        <f t="shared" si="34"/>
        <v>14812.3</v>
      </c>
      <c r="U96" s="5">
        <f t="shared" si="34"/>
        <v>16005.36</v>
      </c>
      <c r="V96" s="5">
        <f t="shared" si="32"/>
        <v>164532.81</v>
      </c>
    </row>
    <row r="97" ht="15.75" customHeight="1">
      <c r="A97" s="4"/>
      <c r="B97" s="4"/>
      <c r="C97" s="4"/>
      <c r="D97" s="4"/>
      <c r="E97" s="4" t="s">
        <v>108</v>
      </c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4"/>
      <c r="B98" s="4"/>
      <c r="C98" s="4"/>
      <c r="D98" s="4"/>
      <c r="E98" s="4"/>
      <c r="F98" s="4" t="s">
        <v>109</v>
      </c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4"/>
      <c r="B99" s="4"/>
      <c r="C99" s="4"/>
      <c r="D99" s="4"/>
      <c r="E99" s="4"/>
      <c r="F99" s="4"/>
      <c r="G99" s="4" t="s">
        <v>110</v>
      </c>
      <c r="H99" s="4"/>
      <c r="I99" s="4"/>
      <c r="J99" s="5">
        <v>79.38</v>
      </c>
      <c r="K99" s="5">
        <v>3903.96</v>
      </c>
      <c r="L99" s="5">
        <v>-3665.82</v>
      </c>
      <c r="M99" s="5">
        <v>2326.82</v>
      </c>
      <c r="N99" s="5">
        <v>449.3</v>
      </c>
      <c r="O99" s="5">
        <v>79.38</v>
      </c>
      <c r="P99" s="5">
        <v>388.27</v>
      </c>
      <c r="Q99" s="5">
        <v>79.45</v>
      </c>
      <c r="R99" s="5">
        <v>199.22</v>
      </c>
      <c r="S99" s="5">
        <v>79.45</v>
      </c>
      <c r="T99" s="5">
        <v>79.45</v>
      </c>
      <c r="U99" s="5">
        <v>79.45</v>
      </c>
      <c r="V99" s="5">
        <f t="shared" ref="V99:V104" si="35">ROUND(SUM(J99:U99),5)</f>
        <v>4078.31</v>
      </c>
    </row>
    <row r="100" ht="15.75" customHeight="1">
      <c r="A100" s="4"/>
      <c r="B100" s="4"/>
      <c r="C100" s="4"/>
      <c r="D100" s="4"/>
      <c r="E100" s="4"/>
      <c r="F100" s="4"/>
      <c r="G100" s="4" t="s">
        <v>111</v>
      </c>
      <c r="H100" s="4"/>
      <c r="I100" s="4"/>
      <c r="J100" s="5">
        <v>1513.38</v>
      </c>
      <c r="K100" s="5">
        <v>96.58</v>
      </c>
      <c r="L100" s="5">
        <v>99.51</v>
      </c>
      <c r="M100" s="5">
        <v>711.9</v>
      </c>
      <c r="N100" s="5">
        <v>612.64</v>
      </c>
      <c r="O100" s="5">
        <v>589.15</v>
      </c>
      <c r="P100" s="5">
        <v>2078.01</v>
      </c>
      <c r="Q100" s="5">
        <v>154.7</v>
      </c>
      <c r="R100" s="5">
        <v>107.0</v>
      </c>
      <c r="S100" s="5">
        <v>175.11</v>
      </c>
      <c r="T100" s="5">
        <v>421.13</v>
      </c>
      <c r="U100" s="5">
        <v>150.46</v>
      </c>
      <c r="V100" s="5">
        <f t="shared" si="35"/>
        <v>6709.57</v>
      </c>
    </row>
    <row r="101" ht="15.75" customHeight="1">
      <c r="A101" s="4"/>
      <c r="B101" s="4"/>
      <c r="C101" s="4"/>
      <c r="D101" s="4"/>
      <c r="E101" s="4"/>
      <c r="F101" s="4"/>
      <c r="G101" s="4" t="s">
        <v>112</v>
      </c>
      <c r="H101" s="4"/>
      <c r="I101" s="4"/>
      <c r="J101" s="5">
        <v>2387.52</v>
      </c>
      <c r="K101" s="5">
        <v>3319.0</v>
      </c>
      <c r="L101" s="5">
        <v>2509.27</v>
      </c>
      <c r="M101" s="5">
        <v>3067.65</v>
      </c>
      <c r="N101" s="5">
        <v>8997.16</v>
      </c>
      <c r="O101" s="5">
        <v>4665.38</v>
      </c>
      <c r="P101" s="5">
        <v>2934.52</v>
      </c>
      <c r="Q101" s="5">
        <v>1661.6</v>
      </c>
      <c r="R101" s="5">
        <v>4165.08</v>
      </c>
      <c r="S101" s="5">
        <v>3089.5</v>
      </c>
      <c r="T101" s="5">
        <v>2147.8</v>
      </c>
      <c r="U101" s="5">
        <v>3201.48</v>
      </c>
      <c r="V101" s="5">
        <f t="shared" si="35"/>
        <v>42145.96</v>
      </c>
    </row>
    <row r="102" ht="15.75" customHeight="1">
      <c r="A102" s="4"/>
      <c r="B102" s="4"/>
      <c r="C102" s="4"/>
      <c r="D102" s="4"/>
      <c r="E102" s="4"/>
      <c r="F102" s="4"/>
      <c r="G102" s="4" t="s">
        <v>113</v>
      </c>
      <c r="H102" s="4"/>
      <c r="I102" s="4"/>
      <c r="J102" s="5">
        <v>1247.37</v>
      </c>
      <c r="K102" s="5">
        <v>668.66</v>
      </c>
      <c r="L102" s="5">
        <v>743.85</v>
      </c>
      <c r="M102" s="5">
        <v>682.43</v>
      </c>
      <c r="N102" s="5">
        <v>3398.7</v>
      </c>
      <c r="O102" s="5">
        <v>-529.16</v>
      </c>
      <c r="P102" s="5">
        <v>1075.86</v>
      </c>
      <c r="Q102" s="5">
        <v>907.3</v>
      </c>
      <c r="R102" s="5">
        <v>924.04</v>
      </c>
      <c r="S102" s="5">
        <v>964.04</v>
      </c>
      <c r="T102" s="5">
        <v>1348.83</v>
      </c>
      <c r="U102" s="5">
        <v>884.96</v>
      </c>
      <c r="V102" s="5">
        <f t="shared" si="35"/>
        <v>12316.88</v>
      </c>
    </row>
    <row r="103" ht="15.75" customHeight="1">
      <c r="A103" s="4"/>
      <c r="B103" s="4"/>
      <c r="C103" s="4"/>
      <c r="D103" s="4"/>
      <c r="E103" s="4"/>
      <c r="F103" s="4" t="s">
        <v>114</v>
      </c>
      <c r="G103" s="4"/>
      <c r="H103" s="4"/>
      <c r="I103" s="4"/>
      <c r="J103" s="7">
        <f t="shared" ref="J103:U103" si="36">ROUND(SUM(J98:J102),5)</f>
        <v>5227.65</v>
      </c>
      <c r="K103" s="7">
        <f t="shared" si="36"/>
        <v>7988.2</v>
      </c>
      <c r="L103" s="7">
        <f t="shared" si="36"/>
        <v>-313.19</v>
      </c>
      <c r="M103" s="7">
        <f t="shared" si="36"/>
        <v>6788.8</v>
      </c>
      <c r="N103" s="7">
        <f t="shared" si="36"/>
        <v>13457.8</v>
      </c>
      <c r="O103" s="7">
        <f t="shared" si="36"/>
        <v>4804.75</v>
      </c>
      <c r="P103" s="7">
        <f t="shared" si="36"/>
        <v>6476.66</v>
      </c>
      <c r="Q103" s="7">
        <f t="shared" si="36"/>
        <v>2803.05</v>
      </c>
      <c r="R103" s="7">
        <f t="shared" si="36"/>
        <v>5395.34</v>
      </c>
      <c r="S103" s="7">
        <f t="shared" si="36"/>
        <v>4308.1</v>
      </c>
      <c r="T103" s="7">
        <f t="shared" si="36"/>
        <v>3997.21</v>
      </c>
      <c r="U103" s="7">
        <f t="shared" si="36"/>
        <v>4316.35</v>
      </c>
      <c r="V103" s="7">
        <f t="shared" si="35"/>
        <v>65250.72</v>
      </c>
    </row>
    <row r="104" ht="15.75" customHeight="1">
      <c r="A104" s="4"/>
      <c r="B104" s="4"/>
      <c r="C104" s="4"/>
      <c r="D104" s="4"/>
      <c r="E104" s="4" t="s">
        <v>115</v>
      </c>
      <c r="F104" s="4"/>
      <c r="G104" s="4"/>
      <c r="H104" s="4"/>
      <c r="I104" s="4"/>
      <c r="J104" s="5">
        <f t="shared" ref="J104:U104" si="37">ROUND(J97+J103,5)</f>
        <v>5227.65</v>
      </c>
      <c r="K104" s="5">
        <f t="shared" si="37"/>
        <v>7988.2</v>
      </c>
      <c r="L104" s="5">
        <f t="shared" si="37"/>
        <v>-313.19</v>
      </c>
      <c r="M104" s="5">
        <f t="shared" si="37"/>
        <v>6788.8</v>
      </c>
      <c r="N104" s="5">
        <f t="shared" si="37"/>
        <v>13457.8</v>
      </c>
      <c r="O104" s="5">
        <f t="shared" si="37"/>
        <v>4804.75</v>
      </c>
      <c r="P104" s="5">
        <f t="shared" si="37"/>
        <v>6476.66</v>
      </c>
      <c r="Q104" s="5">
        <f t="shared" si="37"/>
        <v>2803.05</v>
      </c>
      <c r="R104" s="5">
        <f t="shared" si="37"/>
        <v>5395.34</v>
      </c>
      <c r="S104" s="5">
        <f t="shared" si="37"/>
        <v>4308.1</v>
      </c>
      <c r="T104" s="5">
        <f t="shared" si="37"/>
        <v>3997.21</v>
      </c>
      <c r="U104" s="5">
        <f t="shared" si="37"/>
        <v>4316.35</v>
      </c>
      <c r="V104" s="5">
        <f t="shared" si="35"/>
        <v>65250.72</v>
      </c>
    </row>
    <row r="105" ht="15.75" customHeight="1">
      <c r="A105" s="4"/>
      <c r="B105" s="4"/>
      <c r="C105" s="4"/>
      <c r="D105" s="4"/>
      <c r="E105" s="4" t="s">
        <v>116</v>
      </c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4"/>
      <c r="B106" s="4"/>
      <c r="C106" s="4"/>
      <c r="D106" s="4"/>
      <c r="E106" s="4"/>
      <c r="F106" s="4" t="s">
        <v>117</v>
      </c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4"/>
      <c r="B107" s="4"/>
      <c r="C107" s="4"/>
      <c r="D107" s="4"/>
      <c r="E107" s="4"/>
      <c r="F107" s="4"/>
      <c r="G107" s="4" t="s">
        <v>118</v>
      </c>
      <c r="H107" s="4"/>
      <c r="I107" s="4"/>
      <c r="J107" s="5">
        <v>2777.25</v>
      </c>
      <c r="K107" s="5">
        <v>3669.0</v>
      </c>
      <c r="L107" s="5">
        <v>3770.64</v>
      </c>
      <c r="M107" s="5">
        <v>2316.82</v>
      </c>
      <c r="N107" s="5">
        <v>5104.17</v>
      </c>
      <c r="O107" s="5">
        <v>5403.86</v>
      </c>
      <c r="P107" s="5">
        <v>5208.34</v>
      </c>
      <c r="Q107" s="5">
        <v>5208.34</v>
      </c>
      <c r="R107" s="5">
        <v>5291.76</v>
      </c>
      <c r="S107" s="5">
        <v>3974.67</v>
      </c>
      <c r="T107" s="5">
        <v>1926.46</v>
      </c>
      <c r="U107" s="5">
        <v>1913.72</v>
      </c>
      <c r="V107" s="5">
        <f t="shared" ref="V107:V110" si="38">ROUND(SUM(J107:U107),5)</f>
        <v>46565.03</v>
      </c>
    </row>
    <row r="108" ht="15.75" customHeight="1">
      <c r="A108" s="4"/>
      <c r="B108" s="4"/>
      <c r="C108" s="4"/>
      <c r="D108" s="4"/>
      <c r="E108" s="4"/>
      <c r="F108" s="4"/>
      <c r="G108" s="4" t="s">
        <v>119</v>
      </c>
      <c r="H108" s="4"/>
      <c r="I108" s="4"/>
      <c r="J108" s="5">
        <v>489.45</v>
      </c>
      <c r="K108" s="5">
        <v>935.08</v>
      </c>
      <c r="L108" s="5">
        <v>874.27</v>
      </c>
      <c r="M108" s="5">
        <v>665.12</v>
      </c>
      <c r="N108" s="5">
        <v>1266.84</v>
      </c>
      <c r="O108" s="5">
        <v>954.83</v>
      </c>
      <c r="P108" s="5">
        <v>555.96</v>
      </c>
      <c r="Q108" s="5">
        <v>555.96</v>
      </c>
      <c r="R108" s="5">
        <v>626.84</v>
      </c>
      <c r="S108" s="5">
        <v>431.7</v>
      </c>
      <c r="T108" s="5">
        <v>61.15</v>
      </c>
      <c r="U108" s="5">
        <v>196.43</v>
      </c>
      <c r="V108" s="5">
        <f t="shared" si="38"/>
        <v>7613.63</v>
      </c>
    </row>
    <row r="109" ht="15.75" customHeight="1">
      <c r="A109" s="4"/>
      <c r="B109" s="4"/>
      <c r="C109" s="4"/>
      <c r="D109" s="4"/>
      <c r="E109" s="4"/>
      <c r="F109" s="4" t="s">
        <v>120</v>
      </c>
      <c r="G109" s="4"/>
      <c r="H109" s="4"/>
      <c r="I109" s="4"/>
      <c r="J109" s="7">
        <f t="shared" ref="J109:U109" si="39">ROUND(SUM(J106:J108),5)</f>
        <v>3266.7</v>
      </c>
      <c r="K109" s="7">
        <f t="shared" si="39"/>
        <v>4604.08</v>
      </c>
      <c r="L109" s="7">
        <f t="shared" si="39"/>
        <v>4644.91</v>
      </c>
      <c r="M109" s="7">
        <f t="shared" si="39"/>
        <v>2981.94</v>
      </c>
      <c r="N109" s="7">
        <f t="shared" si="39"/>
        <v>6371.01</v>
      </c>
      <c r="O109" s="7">
        <f t="shared" si="39"/>
        <v>6358.69</v>
      </c>
      <c r="P109" s="7">
        <f t="shared" si="39"/>
        <v>5764.3</v>
      </c>
      <c r="Q109" s="7">
        <f t="shared" si="39"/>
        <v>5764.3</v>
      </c>
      <c r="R109" s="7">
        <f t="shared" si="39"/>
        <v>5918.6</v>
      </c>
      <c r="S109" s="7">
        <f t="shared" si="39"/>
        <v>4406.37</v>
      </c>
      <c r="T109" s="7">
        <f t="shared" si="39"/>
        <v>1987.61</v>
      </c>
      <c r="U109" s="7">
        <f t="shared" si="39"/>
        <v>2110.15</v>
      </c>
      <c r="V109" s="7">
        <f t="shared" si="38"/>
        <v>54178.66</v>
      </c>
    </row>
    <row r="110" ht="15.75" customHeight="1">
      <c r="A110" s="4"/>
      <c r="B110" s="4"/>
      <c r="C110" s="4"/>
      <c r="D110" s="4"/>
      <c r="E110" s="4" t="s">
        <v>121</v>
      </c>
      <c r="F110" s="4"/>
      <c r="G110" s="4"/>
      <c r="H110" s="4"/>
      <c r="I110" s="4"/>
      <c r="J110" s="5">
        <f t="shared" ref="J110:U110" si="40">ROUND(J105+J109,5)</f>
        <v>3266.7</v>
      </c>
      <c r="K110" s="5">
        <f t="shared" si="40"/>
        <v>4604.08</v>
      </c>
      <c r="L110" s="5">
        <f t="shared" si="40"/>
        <v>4644.91</v>
      </c>
      <c r="M110" s="5">
        <f t="shared" si="40"/>
        <v>2981.94</v>
      </c>
      <c r="N110" s="5">
        <f t="shared" si="40"/>
        <v>6371.01</v>
      </c>
      <c r="O110" s="5">
        <f t="shared" si="40"/>
        <v>6358.69</v>
      </c>
      <c r="P110" s="5">
        <f t="shared" si="40"/>
        <v>5764.3</v>
      </c>
      <c r="Q110" s="5">
        <f t="shared" si="40"/>
        <v>5764.3</v>
      </c>
      <c r="R110" s="5">
        <f t="shared" si="40"/>
        <v>5918.6</v>
      </c>
      <c r="S110" s="5">
        <f t="shared" si="40"/>
        <v>4406.37</v>
      </c>
      <c r="T110" s="5">
        <f t="shared" si="40"/>
        <v>1987.61</v>
      </c>
      <c r="U110" s="5">
        <f t="shared" si="40"/>
        <v>2110.15</v>
      </c>
      <c r="V110" s="5">
        <f t="shared" si="38"/>
        <v>54178.66</v>
      </c>
    </row>
    <row r="111" ht="15.75" customHeight="1">
      <c r="A111" s="4"/>
      <c r="B111" s="4"/>
      <c r="C111" s="4"/>
      <c r="D111" s="4"/>
      <c r="E111" s="4" t="s">
        <v>122</v>
      </c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4"/>
      <c r="B112" s="4"/>
      <c r="C112" s="4"/>
      <c r="D112" s="4"/>
      <c r="E112" s="4"/>
      <c r="F112" s="4" t="s">
        <v>123</v>
      </c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4"/>
      <c r="B113" s="4"/>
      <c r="C113" s="4"/>
      <c r="D113" s="4"/>
      <c r="E113" s="4"/>
      <c r="F113" s="4"/>
      <c r="G113" s="4" t="s">
        <v>124</v>
      </c>
      <c r="H113" s="4"/>
      <c r="I113" s="4"/>
      <c r="J113" s="5">
        <v>6330.98</v>
      </c>
      <c r="K113" s="5">
        <v>4869.14</v>
      </c>
      <c r="L113" s="5">
        <v>4861.99</v>
      </c>
      <c r="M113" s="5">
        <v>5368.48</v>
      </c>
      <c r="N113" s="5">
        <v>6618.4</v>
      </c>
      <c r="O113" s="5">
        <v>6273.41</v>
      </c>
      <c r="P113" s="5">
        <v>5626.86</v>
      </c>
      <c r="Q113" s="5">
        <v>6824.67</v>
      </c>
      <c r="R113" s="5">
        <v>6741.91</v>
      </c>
      <c r="S113" s="5">
        <v>7222.19</v>
      </c>
      <c r="T113" s="5">
        <v>6946.55</v>
      </c>
      <c r="U113" s="5">
        <v>6107.63</v>
      </c>
      <c r="V113" s="5">
        <f t="shared" ref="V113:V117" si="41">ROUND(SUM(J113:U113),5)</f>
        <v>73792.21</v>
      </c>
    </row>
    <row r="114" ht="15.75" customHeight="1">
      <c r="A114" s="4"/>
      <c r="B114" s="4"/>
      <c r="C114" s="4"/>
      <c r="D114" s="4"/>
      <c r="E114" s="4"/>
      <c r="F114" s="4"/>
      <c r="G114" s="4" t="s">
        <v>125</v>
      </c>
      <c r="H114" s="4"/>
      <c r="I114" s="4"/>
      <c r="J114" s="5">
        <v>9920.0</v>
      </c>
      <c r="K114" s="5">
        <v>11214.14</v>
      </c>
      <c r="L114" s="5">
        <v>9413.95</v>
      </c>
      <c r="M114" s="5">
        <v>9156.45</v>
      </c>
      <c r="N114" s="5">
        <v>23530.27</v>
      </c>
      <c r="O114" s="5">
        <v>9692.9</v>
      </c>
      <c r="P114" s="5">
        <v>10409.68</v>
      </c>
      <c r="Q114" s="5">
        <v>9806.62</v>
      </c>
      <c r="R114" s="5">
        <v>10835.76</v>
      </c>
      <c r="S114" s="5">
        <v>12941.54</v>
      </c>
      <c r="T114" s="5">
        <v>12091.75</v>
      </c>
      <c r="U114" s="5">
        <v>4254.98</v>
      </c>
      <c r="V114" s="5">
        <f t="shared" si="41"/>
        <v>133268.04</v>
      </c>
    </row>
    <row r="115" ht="15.75" customHeight="1">
      <c r="A115" s="4"/>
      <c r="B115" s="4"/>
      <c r="C115" s="4"/>
      <c r="D115" s="4"/>
      <c r="E115" s="4"/>
      <c r="F115" s="4"/>
      <c r="G115" s="4" t="s">
        <v>126</v>
      </c>
      <c r="H115" s="4"/>
      <c r="I115" s="4"/>
      <c r="J115" s="5">
        <v>0.0</v>
      </c>
      <c r="K115" s="5">
        <v>6785.03</v>
      </c>
      <c r="L115" s="5">
        <v>0.0</v>
      </c>
      <c r="M115" s="5">
        <v>12080.19</v>
      </c>
      <c r="N115" s="5">
        <v>2477.5</v>
      </c>
      <c r="O115" s="5">
        <v>3276.0</v>
      </c>
      <c r="P115" s="5">
        <v>4732.0</v>
      </c>
      <c r="Q115" s="5">
        <v>6916.0</v>
      </c>
      <c r="R115" s="5">
        <v>7028.0</v>
      </c>
      <c r="S115" s="5">
        <v>2197.5</v>
      </c>
      <c r="T115" s="5">
        <v>759.87</v>
      </c>
      <c r="U115" s="5">
        <v>3339.25</v>
      </c>
      <c r="V115" s="5">
        <f t="shared" si="41"/>
        <v>49591.34</v>
      </c>
    </row>
    <row r="116" ht="15.75" customHeight="1">
      <c r="A116" s="4"/>
      <c r="B116" s="4"/>
      <c r="C116" s="4"/>
      <c r="D116" s="4"/>
      <c r="E116" s="4"/>
      <c r="F116" s="4" t="s">
        <v>127</v>
      </c>
      <c r="G116" s="4"/>
      <c r="H116" s="4"/>
      <c r="I116" s="4"/>
      <c r="J116" s="7">
        <f t="shared" ref="J116:U116" si="42">ROUND(SUM(J112:J115),5)</f>
        <v>16250.98</v>
      </c>
      <c r="K116" s="7">
        <f t="shared" si="42"/>
        <v>22868.31</v>
      </c>
      <c r="L116" s="7">
        <f t="shared" si="42"/>
        <v>14275.94</v>
      </c>
      <c r="M116" s="7">
        <f t="shared" si="42"/>
        <v>26605.12</v>
      </c>
      <c r="N116" s="7">
        <f t="shared" si="42"/>
        <v>32626.17</v>
      </c>
      <c r="O116" s="7">
        <f t="shared" si="42"/>
        <v>19242.31</v>
      </c>
      <c r="P116" s="7">
        <f t="shared" si="42"/>
        <v>20768.54</v>
      </c>
      <c r="Q116" s="7">
        <f t="shared" si="42"/>
        <v>23547.29</v>
      </c>
      <c r="R116" s="7">
        <f t="shared" si="42"/>
        <v>24605.67</v>
      </c>
      <c r="S116" s="7">
        <f t="shared" si="42"/>
        <v>22361.23</v>
      </c>
      <c r="T116" s="7">
        <f t="shared" si="42"/>
        <v>19798.17</v>
      </c>
      <c r="U116" s="7">
        <f t="shared" si="42"/>
        <v>13701.86</v>
      </c>
      <c r="V116" s="7">
        <f t="shared" si="41"/>
        <v>256651.59</v>
      </c>
    </row>
    <row r="117" ht="15.75" customHeight="1">
      <c r="A117" s="4"/>
      <c r="B117" s="4"/>
      <c r="C117" s="4"/>
      <c r="D117" s="4"/>
      <c r="E117" s="4" t="s">
        <v>128</v>
      </c>
      <c r="F117" s="4"/>
      <c r="G117" s="4"/>
      <c r="H117" s="4"/>
      <c r="I117" s="4"/>
      <c r="J117" s="5">
        <f t="shared" ref="J117:U117" si="43">ROUND(J111+J116,5)</f>
        <v>16250.98</v>
      </c>
      <c r="K117" s="5">
        <f t="shared" si="43"/>
        <v>22868.31</v>
      </c>
      <c r="L117" s="5">
        <f t="shared" si="43"/>
        <v>14275.94</v>
      </c>
      <c r="M117" s="5">
        <f t="shared" si="43"/>
        <v>26605.12</v>
      </c>
      <c r="N117" s="5">
        <f t="shared" si="43"/>
        <v>32626.17</v>
      </c>
      <c r="O117" s="5">
        <f t="shared" si="43"/>
        <v>19242.31</v>
      </c>
      <c r="P117" s="5">
        <f t="shared" si="43"/>
        <v>20768.54</v>
      </c>
      <c r="Q117" s="5">
        <f t="shared" si="43"/>
        <v>23547.29</v>
      </c>
      <c r="R117" s="5">
        <f t="shared" si="43"/>
        <v>24605.67</v>
      </c>
      <c r="S117" s="5">
        <f t="shared" si="43"/>
        <v>22361.23</v>
      </c>
      <c r="T117" s="5">
        <f t="shared" si="43"/>
        <v>19798.17</v>
      </c>
      <c r="U117" s="5">
        <f t="shared" si="43"/>
        <v>13701.86</v>
      </c>
      <c r="V117" s="5">
        <f t="shared" si="41"/>
        <v>256651.59</v>
      </c>
    </row>
    <row r="118" ht="15.75" customHeight="1">
      <c r="A118" s="4"/>
      <c r="B118" s="4"/>
      <c r="C118" s="4"/>
      <c r="D118" s="4"/>
      <c r="E118" s="4" t="s">
        <v>129</v>
      </c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4"/>
      <c r="B119" s="4"/>
      <c r="C119" s="4"/>
      <c r="D119" s="4"/>
      <c r="E119" s="4"/>
      <c r="F119" s="4" t="s">
        <v>130</v>
      </c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4"/>
      <c r="B120" s="4"/>
      <c r="C120" s="4"/>
      <c r="D120" s="4"/>
      <c r="E120" s="4"/>
      <c r="F120" s="4"/>
      <c r="G120" s="4" t="s">
        <v>131</v>
      </c>
      <c r="H120" s="4"/>
      <c r="I120" s="4"/>
      <c r="J120" s="5">
        <v>5.18</v>
      </c>
      <c r="K120" s="5">
        <v>22.6</v>
      </c>
      <c r="L120" s="5">
        <v>17.18</v>
      </c>
      <c r="M120" s="5">
        <v>33.18</v>
      </c>
      <c r="N120" s="5">
        <v>96.83</v>
      </c>
      <c r="O120" s="5">
        <v>197.66</v>
      </c>
      <c r="P120" s="5">
        <v>129.22</v>
      </c>
      <c r="Q120" s="5">
        <v>1005.11</v>
      </c>
      <c r="R120" s="5">
        <v>1334.23</v>
      </c>
      <c r="S120" s="5">
        <v>999.29</v>
      </c>
      <c r="T120" s="5">
        <v>1444.52</v>
      </c>
      <c r="U120" s="5">
        <v>1382.27</v>
      </c>
      <c r="V120" s="5">
        <f t="shared" ref="V120:V128" si="44">ROUND(SUM(J120:U120),5)</f>
        <v>6667.27</v>
      </c>
    </row>
    <row r="121" ht="15.75" customHeight="1">
      <c r="A121" s="4"/>
      <c r="B121" s="4"/>
      <c r="C121" s="4"/>
      <c r="D121" s="4"/>
      <c r="E121" s="4"/>
      <c r="F121" s="4"/>
      <c r="G121" s="4" t="s">
        <v>132</v>
      </c>
      <c r="H121" s="4"/>
      <c r="I121" s="4"/>
      <c r="J121" s="5">
        <v>0.0</v>
      </c>
      <c r="K121" s="5">
        <v>306.93</v>
      </c>
      <c r="L121" s="5">
        <v>79.76</v>
      </c>
      <c r="M121" s="5">
        <v>0.0</v>
      </c>
      <c r="N121" s="5">
        <v>0.0</v>
      </c>
      <c r="O121" s="5">
        <v>21.19</v>
      </c>
      <c r="P121" s="5">
        <v>0.0</v>
      </c>
      <c r="Q121" s="5">
        <v>0.0</v>
      </c>
      <c r="R121" s="5">
        <v>0.0</v>
      </c>
      <c r="S121" s="5">
        <v>0.0</v>
      </c>
      <c r="T121" s="5">
        <v>0.0</v>
      </c>
      <c r="U121" s="5">
        <v>0.0</v>
      </c>
      <c r="V121" s="5">
        <f t="shared" si="44"/>
        <v>407.88</v>
      </c>
    </row>
    <row r="122" ht="15.75" customHeight="1">
      <c r="A122" s="4"/>
      <c r="B122" s="4"/>
      <c r="C122" s="4"/>
      <c r="D122" s="4"/>
      <c r="E122" s="4"/>
      <c r="F122" s="4"/>
      <c r="G122" s="4" t="s">
        <v>133</v>
      </c>
      <c r="H122" s="4"/>
      <c r="I122" s="4"/>
      <c r="J122" s="5">
        <v>115.1</v>
      </c>
      <c r="K122" s="5">
        <v>112.23</v>
      </c>
      <c r="L122" s="5">
        <v>167.97</v>
      </c>
      <c r="M122" s="5">
        <v>1846.34</v>
      </c>
      <c r="N122" s="5">
        <v>185.3</v>
      </c>
      <c r="O122" s="5">
        <v>0.0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  <c r="V122" s="5">
        <f t="shared" si="44"/>
        <v>2426.94</v>
      </c>
    </row>
    <row r="123" ht="15.75" customHeight="1">
      <c r="A123" s="4"/>
      <c r="B123" s="4"/>
      <c r="C123" s="4"/>
      <c r="D123" s="4"/>
      <c r="E123" s="4"/>
      <c r="F123" s="4"/>
      <c r="G123" s="4" t="s">
        <v>134</v>
      </c>
      <c r="H123" s="4"/>
      <c r="I123" s="4"/>
      <c r="J123" s="5">
        <v>0.0</v>
      </c>
      <c r="K123" s="5">
        <v>29.23</v>
      </c>
      <c r="L123" s="5">
        <v>0.0</v>
      </c>
      <c r="M123" s="5">
        <v>0.0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f t="shared" si="44"/>
        <v>29.23</v>
      </c>
    </row>
    <row r="124" ht="15.75" customHeight="1">
      <c r="A124" s="4"/>
      <c r="B124" s="4"/>
      <c r="C124" s="4"/>
      <c r="D124" s="4"/>
      <c r="E124" s="4"/>
      <c r="F124" s="4"/>
      <c r="G124" s="4" t="s">
        <v>135</v>
      </c>
      <c r="H124" s="4"/>
      <c r="I124" s="4"/>
      <c r="J124" s="5">
        <v>162.72</v>
      </c>
      <c r="K124" s="5">
        <v>93.8</v>
      </c>
      <c r="L124" s="5">
        <v>28.0</v>
      </c>
      <c r="M124" s="5">
        <v>28.0</v>
      </c>
      <c r="N124" s="5">
        <v>25.3</v>
      </c>
      <c r="O124" s="5">
        <v>30.0</v>
      </c>
      <c r="P124" s="5">
        <v>0.0</v>
      </c>
      <c r="Q124" s="5">
        <v>0.0</v>
      </c>
      <c r="R124" s="5">
        <v>34.18</v>
      </c>
      <c r="S124" s="5">
        <v>108.13</v>
      </c>
      <c r="T124" s="5">
        <v>0.0</v>
      </c>
      <c r="U124" s="5">
        <v>259.62</v>
      </c>
      <c r="V124" s="5">
        <f t="shared" si="44"/>
        <v>769.75</v>
      </c>
    </row>
    <row r="125" ht="15.75" customHeight="1">
      <c r="A125" s="4"/>
      <c r="B125" s="4"/>
      <c r="C125" s="4"/>
      <c r="D125" s="4"/>
      <c r="E125" s="4"/>
      <c r="F125" s="4"/>
      <c r="G125" s="4" t="s">
        <v>136</v>
      </c>
      <c r="H125" s="4"/>
      <c r="I125" s="4"/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  <c r="O125" s="5">
        <v>3219.63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  <c r="V125" s="5">
        <f t="shared" si="44"/>
        <v>3219.63</v>
      </c>
    </row>
    <row r="126" ht="15.75" customHeight="1">
      <c r="A126" s="4"/>
      <c r="B126" s="4"/>
      <c r="C126" s="4"/>
      <c r="D126" s="4"/>
      <c r="E126" s="4"/>
      <c r="F126" s="4"/>
      <c r="G126" s="4" t="s">
        <v>137</v>
      </c>
      <c r="H126" s="4"/>
      <c r="I126" s="4"/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5">
        <v>0.0</v>
      </c>
      <c r="P126" s="5">
        <v>0.0</v>
      </c>
      <c r="Q126" s="5">
        <v>1250.0</v>
      </c>
      <c r="R126" s="5">
        <v>1250.0</v>
      </c>
      <c r="S126" s="5">
        <v>1250.0</v>
      </c>
      <c r="T126" s="5">
        <v>0.0</v>
      </c>
      <c r="U126" s="5">
        <v>0.0</v>
      </c>
      <c r="V126" s="5">
        <f t="shared" si="44"/>
        <v>3750</v>
      </c>
    </row>
    <row r="127" ht="15.75" customHeight="1">
      <c r="A127" s="4"/>
      <c r="B127" s="4"/>
      <c r="C127" s="4"/>
      <c r="D127" s="4"/>
      <c r="E127" s="4"/>
      <c r="F127" s="4" t="s">
        <v>138</v>
      </c>
      <c r="G127" s="4"/>
      <c r="H127" s="4"/>
      <c r="I127" s="4"/>
      <c r="J127" s="7">
        <f t="shared" ref="J127:U127" si="45">ROUND(SUM(J119:J126),5)</f>
        <v>283</v>
      </c>
      <c r="K127" s="7">
        <f t="shared" si="45"/>
        <v>564.79</v>
      </c>
      <c r="L127" s="7">
        <f t="shared" si="45"/>
        <v>292.91</v>
      </c>
      <c r="M127" s="7">
        <f t="shared" si="45"/>
        <v>1907.52</v>
      </c>
      <c r="N127" s="7">
        <f t="shared" si="45"/>
        <v>307.43</v>
      </c>
      <c r="O127" s="7">
        <f t="shared" si="45"/>
        <v>3468.48</v>
      </c>
      <c r="P127" s="7">
        <f t="shared" si="45"/>
        <v>129.22</v>
      </c>
      <c r="Q127" s="7">
        <f t="shared" si="45"/>
        <v>2255.11</v>
      </c>
      <c r="R127" s="7">
        <f t="shared" si="45"/>
        <v>2618.41</v>
      </c>
      <c r="S127" s="7">
        <f t="shared" si="45"/>
        <v>2357.42</v>
      </c>
      <c r="T127" s="7">
        <f t="shared" si="45"/>
        <v>1444.52</v>
      </c>
      <c r="U127" s="7">
        <f t="shared" si="45"/>
        <v>1641.89</v>
      </c>
      <c r="V127" s="7">
        <f t="shared" si="44"/>
        <v>17270.7</v>
      </c>
    </row>
    <row r="128" ht="15.75" customHeight="1">
      <c r="A128" s="4"/>
      <c r="B128" s="4"/>
      <c r="C128" s="4"/>
      <c r="D128" s="4"/>
      <c r="E128" s="4" t="s">
        <v>139</v>
      </c>
      <c r="F128" s="4"/>
      <c r="G128" s="4"/>
      <c r="H128" s="4"/>
      <c r="I128" s="4"/>
      <c r="J128" s="5">
        <f t="shared" ref="J128:U128" si="46">ROUND(J118+J127,5)</f>
        <v>283</v>
      </c>
      <c r="K128" s="5">
        <f t="shared" si="46"/>
        <v>564.79</v>
      </c>
      <c r="L128" s="5">
        <f t="shared" si="46"/>
        <v>292.91</v>
      </c>
      <c r="M128" s="5">
        <f t="shared" si="46"/>
        <v>1907.52</v>
      </c>
      <c r="N128" s="5">
        <f t="shared" si="46"/>
        <v>307.43</v>
      </c>
      <c r="O128" s="5">
        <f t="shared" si="46"/>
        <v>3468.48</v>
      </c>
      <c r="P128" s="5">
        <f t="shared" si="46"/>
        <v>129.22</v>
      </c>
      <c r="Q128" s="5">
        <f t="shared" si="46"/>
        <v>2255.11</v>
      </c>
      <c r="R128" s="5">
        <f t="shared" si="46"/>
        <v>2618.41</v>
      </c>
      <c r="S128" s="5">
        <f t="shared" si="46"/>
        <v>2357.42</v>
      </c>
      <c r="T128" s="5">
        <f t="shared" si="46"/>
        <v>1444.52</v>
      </c>
      <c r="U128" s="5">
        <f t="shared" si="46"/>
        <v>1641.89</v>
      </c>
      <c r="V128" s="5">
        <f t="shared" si="44"/>
        <v>17270.7</v>
      </c>
    </row>
    <row r="129" ht="15.75" customHeight="1">
      <c r="A129" s="4"/>
      <c r="B129" s="4"/>
      <c r="C129" s="4"/>
      <c r="D129" s="4"/>
      <c r="E129" s="4" t="s">
        <v>140</v>
      </c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4"/>
      <c r="B130" s="4"/>
      <c r="C130" s="4"/>
      <c r="D130" s="4"/>
      <c r="E130" s="4"/>
      <c r="F130" s="4" t="s">
        <v>141</v>
      </c>
      <c r="G130" s="4"/>
      <c r="H130" s="4"/>
      <c r="I130" s="4"/>
      <c r="J130" s="5">
        <v>29.73</v>
      </c>
      <c r="K130" s="5">
        <v>167.99</v>
      </c>
      <c r="L130" s="5">
        <v>1216.39</v>
      </c>
      <c r="M130" s="5">
        <v>471.19</v>
      </c>
      <c r="N130" s="5">
        <v>-2745.75</v>
      </c>
      <c r="O130" s="5">
        <v>3488.88</v>
      </c>
      <c r="P130" s="5">
        <v>268.61</v>
      </c>
      <c r="Q130" s="5">
        <v>360.7</v>
      </c>
      <c r="R130" s="5">
        <v>502.21</v>
      </c>
      <c r="S130" s="5">
        <v>520.07</v>
      </c>
      <c r="T130" s="5">
        <v>0.0</v>
      </c>
      <c r="U130" s="5">
        <v>191.82</v>
      </c>
      <c r="V130" s="5">
        <f>ROUND(SUM(J130:U130),5)</f>
        <v>4471.84</v>
      </c>
    </row>
    <row r="131" ht="15.75" customHeight="1">
      <c r="A131" s="4"/>
      <c r="B131" s="4"/>
      <c r="C131" s="4"/>
      <c r="D131" s="4"/>
      <c r="E131" s="4"/>
      <c r="F131" s="4" t="s">
        <v>142</v>
      </c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4"/>
      <c r="B132" s="4"/>
      <c r="C132" s="4"/>
      <c r="D132" s="4"/>
      <c r="E132" s="4"/>
      <c r="F132" s="4"/>
      <c r="G132" s="4" t="s">
        <v>143</v>
      </c>
      <c r="H132" s="4"/>
      <c r="I132" s="4"/>
      <c r="J132" s="5">
        <v>0.0</v>
      </c>
      <c r="K132" s="5">
        <v>0.0</v>
      </c>
      <c r="L132" s="5">
        <v>0.0</v>
      </c>
      <c r="M132" s="5">
        <v>48.12</v>
      </c>
      <c r="N132" s="5">
        <v>0.0</v>
      </c>
      <c r="O132" s="5">
        <v>499.5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  <c r="V132" s="5">
        <f t="shared" ref="V132:V135" si="47">ROUND(SUM(J132:U132),5)</f>
        <v>547.62</v>
      </c>
    </row>
    <row r="133" ht="15.75" customHeight="1">
      <c r="A133" s="4"/>
      <c r="B133" s="4"/>
      <c r="C133" s="4"/>
      <c r="D133" s="4"/>
      <c r="E133" s="4"/>
      <c r="F133" s="4"/>
      <c r="G133" s="4" t="s">
        <v>144</v>
      </c>
      <c r="H133" s="4"/>
      <c r="I133" s="4"/>
      <c r="J133" s="5">
        <v>1322.27</v>
      </c>
      <c r="K133" s="5">
        <v>1333.33</v>
      </c>
      <c r="L133" s="5">
        <v>1382.77</v>
      </c>
      <c r="M133" s="5">
        <v>1262.23</v>
      </c>
      <c r="N133" s="5">
        <v>1859.8</v>
      </c>
      <c r="O133" s="5">
        <v>1297.84</v>
      </c>
      <c r="P133" s="5">
        <v>1308.65</v>
      </c>
      <c r="Q133" s="5">
        <v>1238.04</v>
      </c>
      <c r="R133" s="5">
        <v>1593.46</v>
      </c>
      <c r="S133" s="5">
        <v>1167.57</v>
      </c>
      <c r="T133" s="5">
        <v>1402.6</v>
      </c>
      <c r="U133" s="5">
        <v>1782.05</v>
      </c>
      <c r="V133" s="5">
        <f t="shared" si="47"/>
        <v>16950.61</v>
      </c>
    </row>
    <row r="134" ht="15.75" customHeight="1">
      <c r="A134" s="4"/>
      <c r="B134" s="4"/>
      <c r="C134" s="4"/>
      <c r="D134" s="4"/>
      <c r="E134" s="4"/>
      <c r="F134" s="4"/>
      <c r="G134" s="4" t="s">
        <v>145</v>
      </c>
      <c r="H134" s="4"/>
      <c r="I134" s="4"/>
      <c r="J134" s="6">
        <v>825.71</v>
      </c>
      <c r="K134" s="6">
        <v>835.58</v>
      </c>
      <c r="L134" s="6">
        <v>2042.87</v>
      </c>
      <c r="M134" s="6">
        <v>697.54</v>
      </c>
      <c r="N134" s="6">
        <v>927.04</v>
      </c>
      <c r="O134" s="6">
        <v>457.66</v>
      </c>
      <c r="P134" s="6">
        <v>718.77</v>
      </c>
      <c r="Q134" s="6">
        <v>1010.23</v>
      </c>
      <c r="R134" s="6">
        <v>156.83</v>
      </c>
      <c r="S134" s="6">
        <v>609.11</v>
      </c>
      <c r="T134" s="6">
        <v>1049.52</v>
      </c>
      <c r="U134" s="6">
        <v>824.06</v>
      </c>
      <c r="V134" s="6">
        <f t="shared" si="47"/>
        <v>10154.92</v>
      </c>
    </row>
    <row r="135" ht="15.75" customHeight="1">
      <c r="A135" s="4"/>
      <c r="B135" s="4"/>
      <c r="C135" s="4"/>
      <c r="D135" s="4"/>
      <c r="E135" s="4"/>
      <c r="F135" s="4" t="s">
        <v>146</v>
      </c>
      <c r="G135" s="4"/>
      <c r="H135" s="4"/>
      <c r="I135" s="4"/>
      <c r="J135" s="5">
        <f t="shared" ref="J135:U135" si="48">ROUND(SUM(J131:J134),5)</f>
        <v>2147.98</v>
      </c>
      <c r="K135" s="5">
        <f t="shared" si="48"/>
        <v>2168.91</v>
      </c>
      <c r="L135" s="5">
        <f t="shared" si="48"/>
        <v>3425.64</v>
      </c>
      <c r="M135" s="5">
        <f t="shared" si="48"/>
        <v>2007.89</v>
      </c>
      <c r="N135" s="5">
        <f t="shared" si="48"/>
        <v>2786.84</v>
      </c>
      <c r="O135" s="5">
        <f t="shared" si="48"/>
        <v>2255</v>
      </c>
      <c r="P135" s="5">
        <f t="shared" si="48"/>
        <v>2027.42</v>
      </c>
      <c r="Q135" s="5">
        <f t="shared" si="48"/>
        <v>2248.27</v>
      </c>
      <c r="R135" s="5">
        <f t="shared" si="48"/>
        <v>1750.29</v>
      </c>
      <c r="S135" s="5">
        <f t="shared" si="48"/>
        <v>1776.68</v>
      </c>
      <c r="T135" s="5">
        <f t="shared" si="48"/>
        <v>2452.12</v>
      </c>
      <c r="U135" s="5">
        <f t="shared" si="48"/>
        <v>2606.11</v>
      </c>
      <c r="V135" s="5">
        <f t="shared" si="47"/>
        <v>27653.15</v>
      </c>
    </row>
    <row r="136" ht="15.75" customHeight="1">
      <c r="A136" s="4"/>
      <c r="B136" s="4"/>
      <c r="C136" s="4"/>
      <c r="D136" s="4"/>
      <c r="E136" s="4"/>
      <c r="F136" s="4" t="s">
        <v>147</v>
      </c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4"/>
      <c r="B137" s="4"/>
      <c r="C137" s="4"/>
      <c r="D137" s="4"/>
      <c r="E137" s="4"/>
      <c r="F137" s="4"/>
      <c r="G137" s="4" t="s">
        <v>148</v>
      </c>
      <c r="H137" s="4"/>
      <c r="I137" s="4"/>
      <c r="J137" s="5">
        <v>0.0</v>
      </c>
      <c r="K137" s="5">
        <v>14546.72</v>
      </c>
      <c r="L137" s="5">
        <v>14546.72</v>
      </c>
      <c r="M137" s="5">
        <v>-4643.66</v>
      </c>
      <c r="N137" s="5">
        <v>12813.64</v>
      </c>
      <c r="O137" s="5">
        <v>17769.66</v>
      </c>
      <c r="P137" s="5">
        <v>12813.64</v>
      </c>
      <c r="Q137" s="5">
        <v>12813.64</v>
      </c>
      <c r="R137" s="5">
        <v>12813.64</v>
      </c>
      <c r="S137" s="5">
        <v>12813.64</v>
      </c>
      <c r="T137" s="5">
        <v>12813.64</v>
      </c>
      <c r="U137" s="5">
        <v>12813.64</v>
      </c>
      <c r="V137" s="5">
        <f t="shared" ref="V137:V139" si="49">ROUND(SUM(J137:U137),5)</f>
        <v>131914.92</v>
      </c>
    </row>
    <row r="138" ht="15.75" customHeight="1">
      <c r="A138" s="4"/>
      <c r="B138" s="4"/>
      <c r="C138" s="4"/>
      <c r="D138" s="4"/>
      <c r="E138" s="4"/>
      <c r="F138" s="4"/>
      <c r="G138" s="4" t="s">
        <v>149</v>
      </c>
      <c r="H138" s="4"/>
      <c r="I138" s="4"/>
      <c r="J138" s="6">
        <v>27469.43</v>
      </c>
      <c r="K138" s="6">
        <v>12922.71</v>
      </c>
      <c r="L138" s="6">
        <v>12922.71</v>
      </c>
      <c r="M138" s="6">
        <v>12922.71</v>
      </c>
      <c r="N138" s="6">
        <v>17878.73</v>
      </c>
      <c r="O138" s="6">
        <v>13181.17</v>
      </c>
      <c r="P138" s="6">
        <v>18137.19</v>
      </c>
      <c r="Q138" s="6">
        <v>18137.19</v>
      </c>
      <c r="R138" s="6">
        <v>18137.19</v>
      </c>
      <c r="S138" s="6">
        <v>18137.19</v>
      </c>
      <c r="T138" s="6">
        <v>18137.19</v>
      </c>
      <c r="U138" s="6">
        <v>18137.19</v>
      </c>
      <c r="V138" s="6">
        <f t="shared" si="49"/>
        <v>206120.6</v>
      </c>
    </row>
    <row r="139" ht="15.75" customHeight="1">
      <c r="A139" s="4"/>
      <c r="B139" s="4"/>
      <c r="C139" s="4"/>
      <c r="D139" s="4"/>
      <c r="E139" s="4"/>
      <c r="F139" s="4" t="s">
        <v>150</v>
      </c>
      <c r="G139" s="4"/>
      <c r="H139" s="4"/>
      <c r="I139" s="4"/>
      <c r="J139" s="5">
        <f t="shared" ref="J139:U139" si="50">ROUND(SUM(J136:J138),5)</f>
        <v>27469.43</v>
      </c>
      <c r="K139" s="5">
        <f t="shared" si="50"/>
        <v>27469.43</v>
      </c>
      <c r="L139" s="5">
        <f t="shared" si="50"/>
        <v>27469.43</v>
      </c>
      <c r="M139" s="5">
        <f t="shared" si="50"/>
        <v>8279.05</v>
      </c>
      <c r="N139" s="5">
        <f t="shared" si="50"/>
        <v>30692.37</v>
      </c>
      <c r="O139" s="5">
        <f t="shared" si="50"/>
        <v>30950.83</v>
      </c>
      <c r="P139" s="5">
        <f t="shared" si="50"/>
        <v>30950.83</v>
      </c>
      <c r="Q139" s="5">
        <f t="shared" si="50"/>
        <v>30950.83</v>
      </c>
      <c r="R139" s="5">
        <f t="shared" si="50"/>
        <v>30950.83</v>
      </c>
      <c r="S139" s="5">
        <f t="shared" si="50"/>
        <v>30950.83</v>
      </c>
      <c r="T139" s="5">
        <f t="shared" si="50"/>
        <v>30950.83</v>
      </c>
      <c r="U139" s="5">
        <f t="shared" si="50"/>
        <v>30950.83</v>
      </c>
      <c r="V139" s="5">
        <f t="shared" si="49"/>
        <v>338035.52</v>
      </c>
    </row>
    <row r="140" ht="15.75" customHeight="1">
      <c r="A140" s="4"/>
      <c r="B140" s="4"/>
      <c r="C140" s="4"/>
      <c r="D140" s="4"/>
      <c r="E140" s="4"/>
      <c r="F140" s="4" t="s">
        <v>151</v>
      </c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4"/>
      <c r="B141" s="4"/>
      <c r="C141" s="4"/>
      <c r="D141" s="4"/>
      <c r="E141" s="4"/>
      <c r="F141" s="4"/>
      <c r="G141" s="4" t="s">
        <v>152</v>
      </c>
      <c r="H141" s="4"/>
      <c r="I141" s="4"/>
      <c r="J141" s="5">
        <v>3360.97</v>
      </c>
      <c r="K141" s="5">
        <v>0.0</v>
      </c>
      <c r="L141" s="5">
        <v>1735.73</v>
      </c>
      <c r="M141" s="5">
        <v>1740.7</v>
      </c>
      <c r="N141" s="5">
        <v>1628.45</v>
      </c>
      <c r="O141" s="5">
        <v>2162.21</v>
      </c>
      <c r="P141" s="5">
        <v>196.58</v>
      </c>
      <c r="Q141" s="5">
        <v>1772.38</v>
      </c>
      <c r="R141" s="5">
        <v>3661.86</v>
      </c>
      <c r="S141" s="5">
        <v>0.0</v>
      </c>
      <c r="T141" s="5">
        <v>219.74</v>
      </c>
      <c r="U141" s="5">
        <v>1925.87</v>
      </c>
      <c r="V141" s="5">
        <f t="shared" ref="V141:V145" si="51">ROUND(SUM(J141:U141),5)</f>
        <v>18404.49</v>
      </c>
    </row>
    <row r="142" ht="15.75" customHeight="1">
      <c r="A142" s="4"/>
      <c r="B142" s="4"/>
      <c r="C142" s="4"/>
      <c r="D142" s="4"/>
      <c r="E142" s="4"/>
      <c r="F142" s="4"/>
      <c r="G142" s="4" t="s">
        <v>153</v>
      </c>
      <c r="H142" s="4"/>
      <c r="I142" s="4"/>
      <c r="J142" s="5">
        <v>0.0</v>
      </c>
      <c r="K142" s="5">
        <v>0.0</v>
      </c>
      <c r="L142" s="5">
        <v>0.0</v>
      </c>
      <c r="M142" s="5">
        <v>0.0</v>
      </c>
      <c r="N142" s="5">
        <v>1773.16</v>
      </c>
      <c r="O142" s="5">
        <v>0.0</v>
      </c>
      <c r="P142" s="5">
        <v>0.0</v>
      </c>
      <c r="Q142" s="5">
        <v>0.0</v>
      </c>
      <c r="R142" s="5">
        <v>0.0</v>
      </c>
      <c r="S142" s="5">
        <v>3661.86</v>
      </c>
      <c r="T142" s="5">
        <v>0.0</v>
      </c>
      <c r="U142" s="5">
        <v>0.0</v>
      </c>
      <c r="V142" s="5">
        <f t="shared" si="51"/>
        <v>5435.02</v>
      </c>
    </row>
    <row r="143" ht="15.75" customHeight="1">
      <c r="A143" s="4"/>
      <c r="B143" s="4"/>
      <c r="C143" s="4"/>
      <c r="D143" s="4"/>
      <c r="E143" s="4"/>
      <c r="F143" s="4"/>
      <c r="G143" s="4" t="s">
        <v>154</v>
      </c>
      <c r="H143" s="4"/>
      <c r="I143" s="4"/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173.6</v>
      </c>
      <c r="P143" s="5">
        <v>0.0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f t="shared" si="51"/>
        <v>173.6</v>
      </c>
    </row>
    <row r="144" ht="15.75" customHeight="1">
      <c r="A144" s="4"/>
      <c r="B144" s="4"/>
      <c r="C144" s="4"/>
      <c r="D144" s="4"/>
      <c r="E144" s="4"/>
      <c r="F144" s="4" t="s">
        <v>155</v>
      </c>
      <c r="G144" s="4"/>
      <c r="H144" s="4"/>
      <c r="I144" s="4"/>
      <c r="J144" s="7">
        <f t="shared" ref="J144:U144" si="52">ROUND(SUM(J140:J143),5)</f>
        <v>3360.97</v>
      </c>
      <c r="K144" s="7">
        <f t="shared" si="52"/>
        <v>0</v>
      </c>
      <c r="L144" s="7">
        <f t="shared" si="52"/>
        <v>1735.73</v>
      </c>
      <c r="M144" s="7">
        <f t="shared" si="52"/>
        <v>1740.7</v>
      </c>
      <c r="N144" s="7">
        <f t="shared" si="52"/>
        <v>3401.61</v>
      </c>
      <c r="O144" s="7">
        <f t="shared" si="52"/>
        <v>2335.81</v>
      </c>
      <c r="P144" s="7">
        <f t="shared" si="52"/>
        <v>196.58</v>
      </c>
      <c r="Q144" s="7">
        <f t="shared" si="52"/>
        <v>1772.38</v>
      </c>
      <c r="R144" s="7">
        <f t="shared" si="52"/>
        <v>3661.86</v>
      </c>
      <c r="S144" s="7">
        <f t="shared" si="52"/>
        <v>3661.86</v>
      </c>
      <c r="T144" s="7">
        <f t="shared" si="52"/>
        <v>219.74</v>
      </c>
      <c r="U144" s="7">
        <f t="shared" si="52"/>
        <v>1925.87</v>
      </c>
      <c r="V144" s="7">
        <f t="shared" si="51"/>
        <v>24013.11</v>
      </c>
    </row>
    <row r="145" ht="15.75" customHeight="1">
      <c r="A145" s="4"/>
      <c r="B145" s="4"/>
      <c r="C145" s="4"/>
      <c r="D145" s="4"/>
      <c r="E145" s="4" t="s">
        <v>156</v>
      </c>
      <c r="F145" s="4"/>
      <c r="G145" s="4"/>
      <c r="H145" s="4"/>
      <c r="I145" s="4"/>
      <c r="J145" s="5">
        <f t="shared" ref="J145:U145" si="53">ROUND(SUM(J129:J130)+J135+J139+J144,5)</f>
        <v>33008.11</v>
      </c>
      <c r="K145" s="5">
        <f t="shared" si="53"/>
        <v>29806.33</v>
      </c>
      <c r="L145" s="5">
        <f t="shared" si="53"/>
        <v>33847.19</v>
      </c>
      <c r="M145" s="5">
        <f t="shared" si="53"/>
        <v>12498.83</v>
      </c>
      <c r="N145" s="5">
        <f t="shared" si="53"/>
        <v>34135.07</v>
      </c>
      <c r="O145" s="5">
        <f t="shared" si="53"/>
        <v>39030.52</v>
      </c>
      <c r="P145" s="5">
        <f t="shared" si="53"/>
        <v>33443.44</v>
      </c>
      <c r="Q145" s="5">
        <f t="shared" si="53"/>
        <v>35332.18</v>
      </c>
      <c r="R145" s="5">
        <f t="shared" si="53"/>
        <v>36865.19</v>
      </c>
      <c r="S145" s="5">
        <f t="shared" si="53"/>
        <v>36909.44</v>
      </c>
      <c r="T145" s="5">
        <f t="shared" si="53"/>
        <v>33622.69</v>
      </c>
      <c r="U145" s="5">
        <f t="shared" si="53"/>
        <v>35674.63</v>
      </c>
      <c r="V145" s="5">
        <f t="shared" si="51"/>
        <v>394173.62</v>
      </c>
    </row>
    <row r="146" ht="15.75" customHeight="1">
      <c r="A146" s="4"/>
      <c r="B146" s="4"/>
      <c r="C146" s="4"/>
      <c r="D146" s="4"/>
      <c r="E146" s="4" t="s">
        <v>157</v>
      </c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4"/>
      <c r="B147" s="4"/>
      <c r="C147" s="4"/>
      <c r="D147" s="4"/>
      <c r="E147" s="4"/>
      <c r="F147" s="4" t="s">
        <v>158</v>
      </c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4"/>
      <c r="B148" s="4"/>
      <c r="C148" s="4"/>
      <c r="D148" s="4"/>
      <c r="E148" s="4"/>
      <c r="F148" s="4"/>
      <c r="G148" s="4" t="s">
        <v>159</v>
      </c>
      <c r="H148" s="4"/>
      <c r="I148" s="4"/>
      <c r="J148" s="5">
        <v>615.88</v>
      </c>
      <c r="K148" s="5">
        <v>0.0</v>
      </c>
      <c r="L148" s="5">
        <v>161.94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166.12</v>
      </c>
      <c r="U148" s="5">
        <v>0.0</v>
      </c>
      <c r="V148" s="5">
        <f t="shared" ref="V148:V152" si="54">ROUND(SUM(J148:U148),5)</f>
        <v>943.94</v>
      </c>
    </row>
    <row r="149" ht="15.75" customHeight="1">
      <c r="A149" s="4"/>
      <c r="B149" s="4"/>
      <c r="C149" s="4"/>
      <c r="D149" s="4"/>
      <c r="E149" s="4"/>
      <c r="F149" s="4"/>
      <c r="G149" s="4" t="s">
        <v>160</v>
      </c>
      <c r="H149" s="4"/>
      <c r="I149" s="4"/>
      <c r="J149" s="5">
        <v>1327.25</v>
      </c>
      <c r="K149" s="5">
        <v>0.0</v>
      </c>
      <c r="L149" s="5">
        <v>262.16</v>
      </c>
      <c r="M149" s="5">
        <v>0.0</v>
      </c>
      <c r="N149" s="5">
        <v>0.0</v>
      </c>
      <c r="O149" s="5">
        <v>0.0</v>
      </c>
      <c r="P149" s="5">
        <v>215.94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f t="shared" si="54"/>
        <v>1805.35</v>
      </c>
    </row>
    <row r="150" ht="15.75" customHeight="1">
      <c r="A150" s="4"/>
      <c r="B150" s="4"/>
      <c r="C150" s="4"/>
      <c r="D150" s="4"/>
      <c r="E150" s="4"/>
      <c r="F150" s="4"/>
      <c r="G150" s="4" t="s">
        <v>161</v>
      </c>
      <c r="H150" s="4"/>
      <c r="I150" s="4"/>
      <c r="J150" s="5">
        <v>174.8</v>
      </c>
      <c r="K150" s="5">
        <v>0.0</v>
      </c>
      <c r="L150" s="5">
        <v>12.55</v>
      </c>
      <c r="M150" s="5">
        <v>67.86</v>
      </c>
      <c r="N150" s="5">
        <v>198.45</v>
      </c>
      <c r="O150" s="5">
        <v>94.65</v>
      </c>
      <c r="P150" s="5">
        <v>0.0</v>
      </c>
      <c r="Q150" s="5">
        <v>0.0</v>
      </c>
      <c r="R150" s="5">
        <v>31.03</v>
      </c>
      <c r="S150" s="5">
        <v>23.11</v>
      </c>
      <c r="T150" s="5">
        <v>52.67</v>
      </c>
      <c r="U150" s="5">
        <v>177.25</v>
      </c>
      <c r="V150" s="5">
        <f t="shared" si="54"/>
        <v>832.37</v>
      </c>
    </row>
    <row r="151" ht="15.75" customHeight="1">
      <c r="A151" s="4"/>
      <c r="B151" s="4"/>
      <c r="C151" s="4"/>
      <c r="D151" s="4"/>
      <c r="E151" s="4"/>
      <c r="F151" s="4"/>
      <c r="G151" s="4" t="s">
        <v>162</v>
      </c>
      <c r="H151" s="4"/>
      <c r="I151" s="4"/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236.25</v>
      </c>
      <c r="U151" s="6">
        <v>0.0</v>
      </c>
      <c r="V151" s="6">
        <f t="shared" si="54"/>
        <v>236.25</v>
      </c>
    </row>
    <row r="152" ht="15.75" customHeight="1">
      <c r="A152" s="4"/>
      <c r="B152" s="4"/>
      <c r="C152" s="4"/>
      <c r="D152" s="4"/>
      <c r="E152" s="4"/>
      <c r="F152" s="4" t="s">
        <v>163</v>
      </c>
      <c r="G152" s="4"/>
      <c r="H152" s="4"/>
      <c r="I152" s="4"/>
      <c r="J152" s="5">
        <f t="shared" ref="J152:U152" si="55">ROUND(SUM(J147:J151),5)</f>
        <v>2117.93</v>
      </c>
      <c r="K152" s="5">
        <f t="shared" si="55"/>
        <v>0</v>
      </c>
      <c r="L152" s="5">
        <f t="shared" si="55"/>
        <v>436.65</v>
      </c>
      <c r="M152" s="5">
        <f t="shared" si="55"/>
        <v>67.86</v>
      </c>
      <c r="N152" s="5">
        <f t="shared" si="55"/>
        <v>198.45</v>
      </c>
      <c r="O152" s="5">
        <f t="shared" si="55"/>
        <v>94.65</v>
      </c>
      <c r="P152" s="5">
        <f t="shared" si="55"/>
        <v>215.94</v>
      </c>
      <c r="Q152" s="5">
        <f t="shared" si="55"/>
        <v>0</v>
      </c>
      <c r="R152" s="5">
        <f t="shared" si="55"/>
        <v>31.03</v>
      </c>
      <c r="S152" s="5">
        <f t="shared" si="55"/>
        <v>23.11</v>
      </c>
      <c r="T152" s="5">
        <f t="shared" si="55"/>
        <v>455.04</v>
      </c>
      <c r="U152" s="5">
        <f t="shared" si="55"/>
        <v>177.25</v>
      </c>
      <c r="V152" s="5">
        <f t="shared" si="54"/>
        <v>3817.91</v>
      </c>
    </row>
    <row r="153" ht="15.75" customHeight="1">
      <c r="A153" s="4"/>
      <c r="B153" s="4"/>
      <c r="C153" s="4"/>
      <c r="D153" s="4"/>
      <c r="E153" s="4"/>
      <c r="F153" s="4" t="s">
        <v>164</v>
      </c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4"/>
      <c r="B154" s="4"/>
      <c r="C154" s="4"/>
      <c r="D154" s="4"/>
      <c r="E154" s="4"/>
      <c r="F154" s="4"/>
      <c r="G154" s="4" t="s">
        <v>165</v>
      </c>
      <c r="H154" s="4"/>
      <c r="I154" s="4"/>
      <c r="J154" s="5">
        <v>0.0</v>
      </c>
      <c r="K154" s="5">
        <v>0.0</v>
      </c>
      <c r="L154" s="5">
        <v>74.9</v>
      </c>
      <c r="M154" s="5">
        <v>295.3</v>
      </c>
      <c r="N154" s="5">
        <v>0.0</v>
      </c>
      <c r="O154" s="5">
        <v>94.12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5">
        <v>44.03</v>
      </c>
      <c r="V154" s="5">
        <f t="shared" ref="V154:V163" si="56">ROUND(SUM(J154:U154),5)</f>
        <v>508.35</v>
      </c>
    </row>
    <row r="155" ht="15.75" customHeight="1">
      <c r="A155" s="4"/>
      <c r="B155" s="4"/>
      <c r="C155" s="4"/>
      <c r="D155" s="4"/>
      <c r="E155" s="4"/>
      <c r="F155" s="4"/>
      <c r="G155" s="4" t="s">
        <v>166</v>
      </c>
      <c r="H155" s="4"/>
      <c r="I155" s="4"/>
      <c r="J155" s="5">
        <v>4.0</v>
      </c>
      <c r="K155" s="5">
        <v>855.3</v>
      </c>
      <c r="L155" s="5">
        <v>436.24</v>
      </c>
      <c r="M155" s="5">
        <v>790.88</v>
      </c>
      <c r="N155" s="5">
        <v>0.0</v>
      </c>
      <c r="O155" s="5">
        <v>3197.64</v>
      </c>
      <c r="P155" s="5">
        <v>2586.47</v>
      </c>
      <c r="Q155" s="5">
        <v>0.0</v>
      </c>
      <c r="R155" s="5">
        <v>429.41</v>
      </c>
      <c r="S155" s="5">
        <v>656.36</v>
      </c>
      <c r="T155" s="5">
        <v>4155.46</v>
      </c>
      <c r="U155" s="5">
        <v>0.0</v>
      </c>
      <c r="V155" s="5">
        <f t="shared" si="56"/>
        <v>13111.76</v>
      </c>
    </row>
    <row r="156" ht="15.75" customHeight="1">
      <c r="A156" s="4"/>
      <c r="B156" s="4"/>
      <c r="C156" s="4"/>
      <c r="D156" s="4"/>
      <c r="E156" s="4"/>
      <c r="F156" s="4"/>
      <c r="G156" s="4" t="s">
        <v>167</v>
      </c>
      <c r="H156" s="4"/>
      <c r="I156" s="4"/>
      <c r="J156" s="5">
        <v>305.97</v>
      </c>
      <c r="K156" s="5">
        <v>298.02</v>
      </c>
      <c r="L156" s="5">
        <v>303.26</v>
      </c>
      <c r="M156" s="5">
        <v>342.99</v>
      </c>
      <c r="N156" s="5">
        <v>430.2</v>
      </c>
      <c r="O156" s="5">
        <v>306.67</v>
      </c>
      <c r="P156" s="5">
        <v>288.34</v>
      </c>
      <c r="Q156" s="5">
        <v>393.24</v>
      </c>
      <c r="R156" s="5">
        <v>319.21</v>
      </c>
      <c r="S156" s="5">
        <v>213.49</v>
      </c>
      <c r="T156" s="5">
        <v>354.17</v>
      </c>
      <c r="U156" s="5">
        <v>344.31</v>
      </c>
      <c r="V156" s="5">
        <f t="shared" si="56"/>
        <v>3899.87</v>
      </c>
    </row>
    <row r="157" ht="15.75" customHeight="1">
      <c r="A157" s="4"/>
      <c r="B157" s="4"/>
      <c r="C157" s="4"/>
      <c r="D157" s="4"/>
      <c r="E157" s="4"/>
      <c r="F157" s="4"/>
      <c r="G157" s="4" t="s">
        <v>168</v>
      </c>
      <c r="H157" s="4"/>
      <c r="I157" s="4"/>
      <c r="J157" s="5">
        <v>0.0</v>
      </c>
      <c r="K157" s="5">
        <v>60.69</v>
      </c>
      <c r="L157" s="5">
        <v>21.4</v>
      </c>
      <c r="M157" s="5">
        <v>0.0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f t="shared" si="56"/>
        <v>82.09</v>
      </c>
    </row>
    <row r="158" ht="15.75" customHeight="1">
      <c r="A158" s="4"/>
      <c r="B158" s="4"/>
      <c r="C158" s="4"/>
      <c r="D158" s="4"/>
      <c r="E158" s="4"/>
      <c r="F158" s="4"/>
      <c r="G158" s="4" t="s">
        <v>169</v>
      </c>
      <c r="H158" s="4"/>
      <c r="I158" s="4"/>
      <c r="J158" s="5">
        <v>54.23</v>
      </c>
      <c r="K158" s="5">
        <v>15.28</v>
      </c>
      <c r="L158" s="5">
        <v>9.6</v>
      </c>
      <c r="M158" s="5">
        <v>9.84</v>
      </c>
      <c r="N158" s="5">
        <v>19.88</v>
      </c>
      <c r="O158" s="5">
        <v>3.37</v>
      </c>
      <c r="P158" s="5">
        <v>16.07</v>
      </c>
      <c r="Q158" s="5">
        <v>28.76</v>
      </c>
      <c r="R158" s="5">
        <v>2.04</v>
      </c>
      <c r="S158" s="5">
        <v>6.99</v>
      </c>
      <c r="T158" s="5">
        <v>8.19</v>
      </c>
      <c r="U158" s="5">
        <v>51.81</v>
      </c>
      <c r="V158" s="5">
        <f t="shared" si="56"/>
        <v>226.06</v>
      </c>
    </row>
    <row r="159" ht="15.75" customHeight="1">
      <c r="A159" s="4"/>
      <c r="B159" s="4"/>
      <c r="C159" s="4"/>
      <c r="D159" s="4"/>
      <c r="E159" s="4"/>
      <c r="F159" s="4"/>
      <c r="G159" s="4" t="s">
        <v>170</v>
      </c>
      <c r="H159" s="4"/>
      <c r="I159" s="4"/>
      <c r="J159" s="5">
        <v>0.0</v>
      </c>
      <c r="K159" s="5">
        <v>0.0</v>
      </c>
      <c r="L159" s="5">
        <v>0.0</v>
      </c>
      <c r="M159" s="5">
        <v>0.0</v>
      </c>
      <c r="N159" s="5">
        <v>8.82</v>
      </c>
      <c r="O159" s="5">
        <v>0.0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f t="shared" si="56"/>
        <v>8.82</v>
      </c>
    </row>
    <row r="160" ht="15.75" customHeight="1">
      <c r="A160" s="4"/>
      <c r="B160" s="4"/>
      <c r="C160" s="4"/>
      <c r="D160" s="4"/>
      <c r="E160" s="4"/>
      <c r="F160" s="4" t="s">
        <v>171</v>
      </c>
      <c r="G160" s="4"/>
      <c r="H160" s="4"/>
      <c r="I160" s="4"/>
      <c r="J160" s="8">
        <f t="shared" ref="J160:U160" si="57">ROUND(SUM(J153:J159),5)</f>
        <v>364.2</v>
      </c>
      <c r="K160" s="8">
        <f t="shared" si="57"/>
        <v>1229.29</v>
      </c>
      <c r="L160" s="8">
        <f t="shared" si="57"/>
        <v>845.4</v>
      </c>
      <c r="M160" s="8">
        <f t="shared" si="57"/>
        <v>1439.01</v>
      </c>
      <c r="N160" s="8">
        <f t="shared" si="57"/>
        <v>458.9</v>
      </c>
      <c r="O160" s="8">
        <f t="shared" si="57"/>
        <v>3601.8</v>
      </c>
      <c r="P160" s="8">
        <f t="shared" si="57"/>
        <v>2890.88</v>
      </c>
      <c r="Q160" s="8">
        <f t="shared" si="57"/>
        <v>422</v>
      </c>
      <c r="R160" s="8">
        <f t="shared" si="57"/>
        <v>750.66</v>
      </c>
      <c r="S160" s="8">
        <f t="shared" si="57"/>
        <v>876.84</v>
      </c>
      <c r="T160" s="8">
        <f t="shared" si="57"/>
        <v>4517.82</v>
      </c>
      <c r="U160" s="8">
        <f t="shared" si="57"/>
        <v>440.15</v>
      </c>
      <c r="V160" s="8">
        <f t="shared" si="56"/>
        <v>17836.95</v>
      </c>
    </row>
    <row r="161" ht="15.75" customHeight="1">
      <c r="A161" s="4"/>
      <c r="B161" s="4"/>
      <c r="C161" s="4"/>
      <c r="D161" s="4"/>
      <c r="E161" s="4" t="s">
        <v>172</v>
      </c>
      <c r="F161" s="4"/>
      <c r="G161" s="4"/>
      <c r="H161" s="4"/>
      <c r="I161" s="4"/>
      <c r="J161" s="8">
        <f t="shared" ref="J161:U161" si="58">ROUND(J146+J152+J160,5)</f>
        <v>2482.13</v>
      </c>
      <c r="K161" s="8">
        <f t="shared" si="58"/>
        <v>1229.29</v>
      </c>
      <c r="L161" s="8">
        <f t="shared" si="58"/>
        <v>1282.05</v>
      </c>
      <c r="M161" s="8">
        <f t="shared" si="58"/>
        <v>1506.87</v>
      </c>
      <c r="N161" s="8">
        <f t="shared" si="58"/>
        <v>657.35</v>
      </c>
      <c r="O161" s="8">
        <f t="shared" si="58"/>
        <v>3696.45</v>
      </c>
      <c r="P161" s="8">
        <f t="shared" si="58"/>
        <v>3106.82</v>
      </c>
      <c r="Q161" s="8">
        <f t="shared" si="58"/>
        <v>422</v>
      </c>
      <c r="R161" s="8">
        <f t="shared" si="58"/>
        <v>781.69</v>
      </c>
      <c r="S161" s="8">
        <f t="shared" si="58"/>
        <v>899.95</v>
      </c>
      <c r="T161" s="8">
        <f t="shared" si="58"/>
        <v>4972.86</v>
      </c>
      <c r="U161" s="8">
        <f t="shared" si="58"/>
        <v>617.4</v>
      </c>
      <c r="V161" s="8">
        <f t="shared" si="56"/>
        <v>21654.86</v>
      </c>
    </row>
    <row r="162" ht="15.75" customHeight="1">
      <c r="A162" s="4"/>
      <c r="B162" s="4"/>
      <c r="C162" s="4"/>
      <c r="D162" s="4" t="s">
        <v>173</v>
      </c>
      <c r="E162" s="4"/>
      <c r="F162" s="4"/>
      <c r="G162" s="4"/>
      <c r="H162" s="4"/>
      <c r="I162" s="4"/>
      <c r="J162" s="7">
        <f t="shared" ref="J162:U162" si="59">ROUND(J65+J82+J96+J104+J110+J117+J128+J145+J161,5)</f>
        <v>75122.93</v>
      </c>
      <c r="K162" s="7">
        <f t="shared" si="59"/>
        <v>80656.53</v>
      </c>
      <c r="L162" s="7">
        <f t="shared" si="59"/>
        <v>69750.42</v>
      </c>
      <c r="M162" s="7">
        <f t="shared" si="59"/>
        <v>68295.54</v>
      </c>
      <c r="N162" s="7">
        <f t="shared" si="59"/>
        <v>104200.09</v>
      </c>
      <c r="O162" s="7">
        <f t="shared" si="59"/>
        <v>91549.09</v>
      </c>
      <c r="P162" s="7">
        <f t="shared" si="59"/>
        <v>84693.75</v>
      </c>
      <c r="Q162" s="7">
        <f t="shared" si="59"/>
        <v>85239.9</v>
      </c>
      <c r="R162" s="7">
        <f t="shared" si="59"/>
        <v>95326.78</v>
      </c>
      <c r="S162" s="7">
        <f t="shared" si="59"/>
        <v>88186.8</v>
      </c>
      <c r="T162" s="7">
        <f t="shared" si="59"/>
        <v>83246.09</v>
      </c>
      <c r="U162" s="7">
        <f t="shared" si="59"/>
        <v>76122.71</v>
      </c>
      <c r="V162" s="7">
        <f t="shared" si="56"/>
        <v>1002390.63</v>
      </c>
    </row>
    <row r="163" ht="15.75" customHeight="1">
      <c r="A163" s="4"/>
      <c r="B163" s="4" t="s">
        <v>174</v>
      </c>
      <c r="C163" s="4"/>
      <c r="D163" s="4"/>
      <c r="E163" s="4"/>
      <c r="F163" s="4"/>
      <c r="G163" s="4"/>
      <c r="H163" s="4"/>
      <c r="I163" s="4"/>
      <c r="J163" s="5">
        <f t="shared" ref="J163:U163" si="60">ROUND(J2+J64-J162,5)</f>
        <v>5957.74</v>
      </c>
      <c r="K163" s="5">
        <f t="shared" si="60"/>
        <v>26997.07</v>
      </c>
      <c r="L163" s="5">
        <f t="shared" si="60"/>
        <v>40319.57</v>
      </c>
      <c r="M163" s="5">
        <f t="shared" si="60"/>
        <v>10346.5</v>
      </c>
      <c r="N163" s="5">
        <f t="shared" si="60"/>
        <v>-28453.14</v>
      </c>
      <c r="O163" s="5">
        <f t="shared" si="60"/>
        <v>-8523.06</v>
      </c>
      <c r="P163" s="5">
        <f t="shared" si="60"/>
        <v>-15207.18</v>
      </c>
      <c r="Q163" s="5">
        <f t="shared" si="60"/>
        <v>34521.12</v>
      </c>
      <c r="R163" s="5">
        <f t="shared" si="60"/>
        <v>11612.13</v>
      </c>
      <c r="S163" s="5">
        <f t="shared" si="60"/>
        <v>-924.7</v>
      </c>
      <c r="T163" s="5">
        <f t="shared" si="60"/>
        <v>33077.1</v>
      </c>
      <c r="U163" s="5">
        <f t="shared" si="60"/>
        <v>20482.28</v>
      </c>
      <c r="V163" s="5">
        <f t="shared" si="56"/>
        <v>130205.43</v>
      </c>
    </row>
    <row r="164" ht="15.75" customHeight="1">
      <c r="A164" s="4"/>
      <c r="B164" s="4" t="s">
        <v>175</v>
      </c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4"/>
      <c r="B165" s="4"/>
      <c r="C165" s="4" t="s">
        <v>176</v>
      </c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4"/>
      <c r="B166" s="4"/>
      <c r="C166" s="4"/>
      <c r="D166" s="4" t="s">
        <v>177</v>
      </c>
      <c r="E166" s="4"/>
      <c r="F166" s="4"/>
      <c r="G166" s="4"/>
      <c r="H166" s="4"/>
      <c r="I166" s="4"/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6">
        <v>0.0</v>
      </c>
      <c r="S166" s="6">
        <v>613.48</v>
      </c>
      <c r="T166" s="6">
        <v>0.0</v>
      </c>
      <c r="U166" s="6">
        <v>0.0</v>
      </c>
      <c r="V166" s="6">
        <f t="shared" ref="V166:V167" si="62">ROUND(SUM(J166:U166),5)</f>
        <v>613.48</v>
      </c>
    </row>
    <row r="167" ht="15.75" customHeight="1">
      <c r="A167" s="4"/>
      <c r="B167" s="4"/>
      <c r="C167" s="4" t="s">
        <v>178</v>
      </c>
      <c r="D167" s="4"/>
      <c r="E167" s="4"/>
      <c r="F167" s="4"/>
      <c r="G167" s="4"/>
      <c r="H167" s="4"/>
      <c r="I167" s="4"/>
      <c r="J167" s="5">
        <f t="shared" ref="J167:U167" si="61">ROUND(SUM(J165:J166),5)</f>
        <v>0</v>
      </c>
      <c r="K167" s="5">
        <f t="shared" si="61"/>
        <v>0</v>
      </c>
      <c r="L167" s="5">
        <f t="shared" si="61"/>
        <v>0</v>
      </c>
      <c r="M167" s="5">
        <f t="shared" si="61"/>
        <v>0</v>
      </c>
      <c r="N167" s="5">
        <f t="shared" si="61"/>
        <v>0</v>
      </c>
      <c r="O167" s="5">
        <f t="shared" si="61"/>
        <v>0</v>
      </c>
      <c r="P167" s="5">
        <f t="shared" si="61"/>
        <v>0</v>
      </c>
      <c r="Q167" s="5">
        <f t="shared" si="61"/>
        <v>0</v>
      </c>
      <c r="R167" s="5">
        <f t="shared" si="61"/>
        <v>0</v>
      </c>
      <c r="S167" s="5">
        <f t="shared" si="61"/>
        <v>613.48</v>
      </c>
      <c r="T167" s="5">
        <f t="shared" si="61"/>
        <v>0</v>
      </c>
      <c r="U167" s="5">
        <f t="shared" si="61"/>
        <v>0</v>
      </c>
      <c r="V167" s="5">
        <f t="shared" si="62"/>
        <v>613.48</v>
      </c>
    </row>
    <row r="168" ht="15.75" customHeight="1">
      <c r="A168" s="4"/>
      <c r="B168" s="4"/>
      <c r="C168" s="4" t="s">
        <v>179</v>
      </c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4"/>
      <c r="B169" s="4"/>
      <c r="C169" s="4"/>
      <c r="D169" s="4" t="s">
        <v>180</v>
      </c>
      <c r="E169" s="4"/>
      <c r="F169" s="4"/>
      <c r="G169" s="4"/>
      <c r="H169" s="4"/>
      <c r="I169" s="4"/>
      <c r="J169" s="5">
        <v>8000.0</v>
      </c>
      <c r="K169" s="5">
        <v>7800.0</v>
      </c>
      <c r="L169" s="5">
        <v>8000.0</v>
      </c>
      <c r="M169" s="5">
        <v>8000.0</v>
      </c>
      <c r="N169" s="5">
        <v>10200.0</v>
      </c>
      <c r="O169" s="5">
        <v>5000.0</v>
      </c>
      <c r="P169" s="5">
        <v>0.0</v>
      </c>
      <c r="Q169" s="5">
        <v>0.0</v>
      </c>
      <c r="R169" s="5">
        <v>0.0</v>
      </c>
      <c r="S169" s="5">
        <v>0.0</v>
      </c>
      <c r="T169" s="5">
        <v>0.0</v>
      </c>
      <c r="U169" s="5">
        <v>0.0</v>
      </c>
      <c r="V169" s="5">
        <f t="shared" ref="V169:V175" si="63">ROUND(SUM(J169:U169),5)</f>
        <v>47000</v>
      </c>
    </row>
    <row r="170" ht="15.75" customHeight="1">
      <c r="A170" s="4"/>
      <c r="B170" s="4"/>
      <c r="C170" s="4"/>
      <c r="D170" s="4" t="s">
        <v>181</v>
      </c>
      <c r="E170" s="4"/>
      <c r="F170" s="4"/>
      <c r="G170" s="4"/>
      <c r="H170" s="4"/>
      <c r="I170" s="4"/>
      <c r="J170" s="5">
        <v>3151.12</v>
      </c>
      <c r="K170" s="5">
        <v>3151.12</v>
      </c>
      <c r="L170" s="5">
        <v>3151.12</v>
      </c>
      <c r="M170" s="5">
        <v>52786.12</v>
      </c>
      <c r="N170" s="5">
        <v>12425.21</v>
      </c>
      <c r="O170" s="5">
        <v>12425.21</v>
      </c>
      <c r="P170" s="5">
        <v>12425.21</v>
      </c>
      <c r="Q170" s="5">
        <v>12425.21</v>
      </c>
      <c r="R170" s="5">
        <v>12425.21</v>
      </c>
      <c r="S170" s="5">
        <v>12425.21</v>
      </c>
      <c r="T170" s="5">
        <v>12425.21</v>
      </c>
      <c r="U170" s="5">
        <v>12425.21</v>
      </c>
      <c r="V170" s="5">
        <f t="shared" si="63"/>
        <v>161641.16</v>
      </c>
    </row>
    <row r="171" ht="15.75" customHeight="1">
      <c r="A171" s="4"/>
      <c r="B171" s="4"/>
      <c r="C171" s="4"/>
      <c r="D171" s="4" t="s">
        <v>182</v>
      </c>
      <c r="E171" s="4"/>
      <c r="F171" s="4"/>
      <c r="G171" s="4"/>
      <c r="H171" s="4"/>
      <c r="I171" s="4"/>
      <c r="J171" s="5">
        <v>0.0</v>
      </c>
      <c r="K171" s="5">
        <v>0.0</v>
      </c>
      <c r="L171" s="5">
        <v>0.0</v>
      </c>
      <c r="M171" s="5">
        <v>0.0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100.0</v>
      </c>
      <c r="V171" s="5">
        <f t="shared" si="63"/>
        <v>100</v>
      </c>
    </row>
    <row r="172" ht="15.75" customHeight="1">
      <c r="A172" s="4"/>
      <c r="B172" s="4"/>
      <c r="C172" s="4"/>
      <c r="D172" s="4" t="s">
        <v>183</v>
      </c>
      <c r="E172" s="4"/>
      <c r="F172" s="4"/>
      <c r="G172" s="4"/>
      <c r="H172" s="4"/>
      <c r="I172" s="4"/>
      <c r="J172" s="5">
        <v>1153.26</v>
      </c>
      <c r="K172" s="5">
        <v>977.61</v>
      </c>
      <c r="L172" s="5">
        <v>780.97</v>
      </c>
      <c r="M172" s="5">
        <v>787.44</v>
      </c>
      <c r="N172" s="5">
        <v>573.76</v>
      </c>
      <c r="O172" s="5">
        <v>436.78</v>
      </c>
      <c r="P172" s="5">
        <v>0.0</v>
      </c>
      <c r="Q172" s="5">
        <v>243.2</v>
      </c>
      <c r="R172" s="5">
        <v>544.02</v>
      </c>
      <c r="S172" s="5">
        <v>530.69</v>
      </c>
      <c r="T172" s="5">
        <v>517.79</v>
      </c>
      <c r="U172" s="5">
        <v>587.93</v>
      </c>
      <c r="V172" s="5">
        <f t="shared" si="63"/>
        <v>7133.45</v>
      </c>
    </row>
    <row r="173" ht="15.75" customHeight="1">
      <c r="A173" s="4"/>
      <c r="B173" s="4"/>
      <c r="C173" s="4" t="s">
        <v>184</v>
      </c>
      <c r="D173" s="4"/>
      <c r="E173" s="4"/>
      <c r="F173" s="4"/>
      <c r="G173" s="4"/>
      <c r="H173" s="4"/>
      <c r="I173" s="4"/>
      <c r="J173" s="8">
        <f t="shared" ref="J173:U173" si="64">ROUND(SUM(J168:J172),5)</f>
        <v>12304.38</v>
      </c>
      <c r="K173" s="8">
        <f t="shared" si="64"/>
        <v>11928.73</v>
      </c>
      <c r="L173" s="8">
        <f t="shared" si="64"/>
        <v>11932.09</v>
      </c>
      <c r="M173" s="8">
        <f t="shared" si="64"/>
        <v>61573.56</v>
      </c>
      <c r="N173" s="8">
        <f t="shared" si="64"/>
        <v>23198.97</v>
      </c>
      <c r="O173" s="8">
        <f t="shared" si="64"/>
        <v>17861.99</v>
      </c>
      <c r="P173" s="8">
        <f t="shared" si="64"/>
        <v>12425.21</v>
      </c>
      <c r="Q173" s="8">
        <f t="shared" si="64"/>
        <v>12668.41</v>
      </c>
      <c r="R173" s="8">
        <f t="shared" si="64"/>
        <v>12969.23</v>
      </c>
      <c r="S173" s="8">
        <f t="shared" si="64"/>
        <v>12955.9</v>
      </c>
      <c r="T173" s="8">
        <f t="shared" si="64"/>
        <v>12943</v>
      </c>
      <c r="U173" s="8">
        <f t="shared" si="64"/>
        <v>13113.14</v>
      </c>
      <c r="V173" s="8">
        <f t="shared" si="63"/>
        <v>215874.61</v>
      </c>
    </row>
    <row r="174" ht="15.75" customHeight="1">
      <c r="A174" s="4"/>
      <c r="B174" s="4" t="s">
        <v>185</v>
      </c>
      <c r="C174" s="4"/>
      <c r="D174" s="4"/>
      <c r="E174" s="4"/>
      <c r="F174" s="4"/>
      <c r="G174" s="4"/>
      <c r="H174" s="4"/>
      <c r="I174" s="4"/>
      <c r="J174" s="8">
        <f t="shared" ref="J174:U174" si="65">ROUND(J164+J167-J173,5)</f>
        <v>-12304.38</v>
      </c>
      <c r="K174" s="8">
        <f t="shared" si="65"/>
        <v>-11928.73</v>
      </c>
      <c r="L174" s="8">
        <f t="shared" si="65"/>
        <v>-11932.09</v>
      </c>
      <c r="M174" s="8">
        <f t="shared" si="65"/>
        <v>-61573.56</v>
      </c>
      <c r="N174" s="8">
        <f t="shared" si="65"/>
        <v>-23198.97</v>
      </c>
      <c r="O174" s="8">
        <f t="shared" si="65"/>
        <v>-17861.99</v>
      </c>
      <c r="P174" s="8">
        <f t="shared" si="65"/>
        <v>-12425.21</v>
      </c>
      <c r="Q174" s="8">
        <f t="shared" si="65"/>
        <v>-12668.41</v>
      </c>
      <c r="R174" s="8">
        <f t="shared" si="65"/>
        <v>-12969.23</v>
      </c>
      <c r="S174" s="8">
        <f t="shared" si="65"/>
        <v>-12342.42</v>
      </c>
      <c r="T174" s="8">
        <f t="shared" si="65"/>
        <v>-12943</v>
      </c>
      <c r="U174" s="8">
        <f t="shared" si="65"/>
        <v>-13113.14</v>
      </c>
      <c r="V174" s="8">
        <f t="shared" si="63"/>
        <v>-215261.13</v>
      </c>
    </row>
    <row r="175" ht="15.75" customHeight="1">
      <c r="A175" s="4" t="s">
        <v>186</v>
      </c>
      <c r="B175" s="4"/>
      <c r="C175" s="4"/>
      <c r="D175" s="4"/>
      <c r="E175" s="4"/>
      <c r="F175" s="4"/>
      <c r="G175" s="4"/>
      <c r="H175" s="4"/>
      <c r="I175" s="4"/>
      <c r="J175" s="9">
        <f t="shared" ref="J175:U175" si="66">ROUND(J163+J174,5)</f>
        <v>-6346.64</v>
      </c>
      <c r="K175" s="9">
        <f t="shared" si="66"/>
        <v>15068.34</v>
      </c>
      <c r="L175" s="9">
        <f t="shared" si="66"/>
        <v>28387.48</v>
      </c>
      <c r="M175" s="9">
        <f t="shared" si="66"/>
        <v>-51227.06</v>
      </c>
      <c r="N175" s="9">
        <f t="shared" si="66"/>
        <v>-51652.11</v>
      </c>
      <c r="O175" s="9">
        <f t="shared" si="66"/>
        <v>-26385.05</v>
      </c>
      <c r="P175" s="9">
        <f t="shared" si="66"/>
        <v>-27632.39</v>
      </c>
      <c r="Q175" s="9">
        <f t="shared" si="66"/>
        <v>21852.71</v>
      </c>
      <c r="R175" s="9">
        <f t="shared" si="66"/>
        <v>-1357.1</v>
      </c>
      <c r="S175" s="9">
        <f t="shared" si="66"/>
        <v>-13267.12</v>
      </c>
      <c r="T175" s="9">
        <f t="shared" si="66"/>
        <v>20134.1</v>
      </c>
      <c r="U175" s="9">
        <f t="shared" si="66"/>
        <v>7369.14</v>
      </c>
      <c r="V175" s="9">
        <f t="shared" si="63"/>
        <v>-85055.7</v>
      </c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printOptions/>
  <pageMargins bottom="0.75" footer="0.0" header="0.0" left="0.7" right="0.7" top="0.75"/>
  <pageSetup orientation="portrait"/>
  <headerFooter>
    <oddHeader>&amp;L 7:32 PM  10/06/24  Accrual Basis&amp;C Downtown Dog Lounge  Profit &amp;&amp; Loss  September 2023 through August 2024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2024-10-07T02:32:21Z</dcterms:created>
  <dc:creator>Jessica McAdams</dc:creator>
</cp:coreProperties>
</file>