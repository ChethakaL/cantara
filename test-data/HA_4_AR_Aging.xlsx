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 Aging Detai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<sst xmlns="http://schemas.openxmlformats.org/spreadsheetml/2006/main" count="56" uniqueCount="55">
  <si>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Harborview Pet Resort, LLC</t>
  </si>
  <si>
    <t xml:space="preserve">Accounts Receivable — Open Invoice Detail</t>
  </si>
  <si>
    <t xml:space="preserve">As of: December 31, 2024</t>
  </si>
  <si>
    <t xml:space="preserve">#</t>
  </si>
  <si>
    <t xml:space="preserve">Customer / Account</t>
  </si>
  <si>
    <t xml:space="preserve">Invoice #</t>
  </si>
  <si>
    <t xml:space="preserve">Invoice Date</t>
  </si>
  <si>
    <t xml:space="preserve">Due Date</t>
  </si>
  <si>
    <t xml:space="preserve">Total</t>
  </si>
  <si>
    <t xml:space="preserve">Current</t>
  </si>
  <si>
    <t xml:space="preserve">1-30 Days</t>
  </si>
  <si>
    <t xml:space="preserve">31-60 Days</t>
  </si>
  <si>
    <t xml:space="preserve">61-90 Days</t>
  </si>
  <si>
    <t xml:space="preserve">90+ Days</t>
  </si>
  <si>
    <t xml:space="preserve">Harbor Animal Hospital (Corp)</t>
  </si>
  <si>
    <t xml:space="preserve">HV-2024-0445</t>
  </si>
  <si>
    <t xml:space="preserve">Dec 12, 2024</t>
  </si>
  <si>
    <t xml:space="preserve">Jan 11, 2025</t>
  </si>
  <si>
    <t xml:space="preserve">Martinez, Elena</t>
  </si>
  <si>
    <t xml:space="preserve">HV-2024-0431</t>
  </si>
  <si>
    <t xml:space="preserve">Nov 28, 2024</t>
  </si>
  <si>
    <t xml:space="preserve">Dec 28, 2024</t>
  </si>
  <si>
    <t xml:space="preserve">Chen, William</t>
  </si>
  <si>
    <t xml:space="preserve">HV-2024-0447</t>
  </si>
  <si>
    <t xml:space="preserve">Dec 18, 2024</t>
  </si>
  <si>
    <t xml:space="preserve">Jan 17, 2025</t>
  </si>
  <si>
    <t xml:space="preserve">Coastal Boarding Partners LLC</t>
  </si>
  <si>
    <t xml:space="preserve">HV-2024-0418</t>
  </si>
  <si>
    <t xml:space="preserve">Nov 5, 2024</t>
  </si>
  <si>
    <t xml:space="preserve">Dec 5, 2024</t>
  </si>
  <si>
    <t xml:space="preserve">Thompson, Rachel</t>
  </si>
  <si>
    <t xml:space="preserve">HV-2024-0448</t>
  </si>
  <si>
    <t xml:space="preserve">Dec 20, 2024</t>
  </si>
  <si>
    <t xml:space="preserve">Jan 19, 2025</t>
  </si>
  <si>
    <t xml:space="preserve">Bay Area Pet Owners Assoc.</t>
  </si>
  <si>
    <t xml:space="preserve">HV-2024-0449</t>
  </si>
  <si>
    <t xml:space="preserve">Dec 22, 2024</t>
  </si>
  <si>
    <t xml:space="preserve">Jan 21, 2025</t>
  </si>
  <si>
    <t xml:space="preserve">Kumar, Priya</t>
  </si>
  <si>
    <t xml:space="preserve">HV-2024-0402</t>
  </si>
  <si>
    <t xml:space="preserve">Oct 14, 2024</t>
  </si>
  <si>
    <t xml:space="preserve">Nov 13, 2024</t>
  </si>
  <si>
    <t xml:space="preserve">Anderson, James</t>
  </si>
  <si>
    <t xml:space="preserve">HV-2024-0450</t>
  </si>
  <si>
    <t xml:space="preserve">Jan 27, 2025</t>
  </si>
  <si>
    <t xml:space="preserve">Davis, Michael</t>
  </si>
  <si>
    <t xml:space="preserve">HV-2024-0371</t>
  </si>
  <si>
    <t xml:space="preserve">Sep 3, 2024</t>
  </si>
  <si>
    <t xml:space="preserve">Oct 3, 2024</t>
  </si>
  <si>
    <t xml:space="preserve">Nakamura, Keiko</t>
  </si>
  <si>
    <t xml:space="preserve">HV-2024-0383</t>
  </si>
  <si>
    <t xml:space="preserve">Sep 22, 2024</t>
  </si>
  <si>
    <t xml:space="preserve">Oct 22, 2024</t>
  </si>
  <si>
    <t xml:space="preserve">TOTAL</t>
  </si>
  <si>
    <t xml:space="preserve">% of Total 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</si>
</sst>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sz val="11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11" min="4" style="1" width="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customFormat="false" ht="15" hidden="false" customHeight="false" outlineLevel="0" collapsed="false">
      <c r="A6" s="6" t="n">
        <v>1</v>
      </c>
      <c r="B6" s="6" t="s">
        <v>14</v>
      </c>
      <c r="C6" s="6" t="s">
        <v>15</v>
      </c>
      <c r="D6" s="6" t="s">
        <v>16</v>
      </c>
      <c r="E6" s="6" t="s">
        <v>17</v>
      </c>
      <c r="F6" s="7" t="n">
        <v>2800</v>
      </c>
      <c r="G6" s="7" t="n">
        <v>2800</v>
      </c>
    </row>
    <row r="7" customFormat="false" ht="15" hidden="false" customHeight="false" outlineLevel="0" collapsed="false">
      <c r="A7" s="6" t="n">
        <v>2</v>
      </c>
      <c r="B7" s="6" t="s">
        <v>18</v>
      </c>
      <c r="C7" s="6" t="s">
        <v>19</v>
      </c>
      <c r="D7" s="6" t="s">
        <v>20</v>
      </c>
      <c r="E7" s="6" t="s">
        <v>21</v>
      </c>
      <c r="F7" s="7" t="n">
        <v>420</v>
      </c>
      <c r="H7" s="7" t="n">
        <v>420</v>
      </c>
    </row>
    <row r="8" customFormat="false" ht="15" hidden="false" customHeight="false" outlineLevel="0" collapsed="false">
      <c r="A8" s="6" t="n">
        <v>3</v>
      </c>
      <c r="B8" s="6" t="s">
        <v>22</v>
      </c>
      <c r="C8" s="6" t="s">
        <v>23</v>
      </c>
      <c r="D8" s="6" t="s">
        <v>24</v>
      </c>
      <c r="E8" s="6" t="s">
        <v>25</v>
      </c>
      <c r="F8" s="7" t="n">
        <v>195</v>
      </c>
      <c r="G8" s="7" t="n">
        <v>195</v>
      </c>
    </row>
    <row r="9" customFormat="false" ht="15" hidden="false" customHeight="false" outlineLevel="0" collapsed="false">
      <c r="A9" s="6" t="n">
        <v>4</v>
      </c>
      <c r="B9" s="6" t="s">
        <v>26</v>
      </c>
      <c r="C9" s="6" t="s">
        <v>27</v>
      </c>
      <c r="D9" s="6" t="s">
        <v>28</v>
      </c>
      <c r="E9" s="6" t="s">
        <v>29</v>
      </c>
      <c r="F9" s="7" t="n">
        <v>1650</v>
      </c>
      <c r="H9" s="7" t="n">
        <v>1650</v>
      </c>
    </row>
    <row r="10" customFormat="false" ht="15" hidden="false" customHeight="false" outlineLevel="0" collapsed="false">
      <c r="A10" s="6" t="n">
        <v>5</v>
      </c>
      <c r="B10" s="6" t="s">
        <v>30</v>
      </c>
      <c r="C10" s="6" t="s">
        <v>31</v>
      </c>
      <c r="D10" s="6" t="s">
        <v>32</v>
      </c>
      <c r="E10" s="6" t="s">
        <v>33</v>
      </c>
      <c r="F10" s="7" t="n">
        <v>280</v>
      </c>
      <c r="G10" s="7" t="n">
        <v>280</v>
      </c>
    </row>
    <row r="11" customFormat="false" ht="15" hidden="false" customHeight="false" outlineLevel="0" collapsed="false">
      <c r="A11" s="6" t="n">
        <v>6</v>
      </c>
      <c r="B11" s="6" t="s">
        <v>34</v>
      </c>
      <c r="C11" s="6" t="s">
        <v>35</v>
      </c>
      <c r="D11" s="6" t="s">
        <v>36</v>
      </c>
      <c r="E11" s="6" t="s">
        <v>37</v>
      </c>
      <c r="F11" s="7" t="n">
        <v>360</v>
      </c>
      <c r="G11" s="7" t="n">
        <v>360</v>
      </c>
    </row>
    <row r="12" customFormat="false" ht="15" hidden="false" customHeight="false" outlineLevel="0" collapsed="false">
      <c r="A12" s="6" t="n">
        <v>7</v>
      </c>
      <c r="B12" s="6" t="s">
        <v>38</v>
      </c>
      <c r="C12" s="6" t="s">
        <v>39</v>
      </c>
      <c r="D12" s="6" t="s">
        <v>40</v>
      </c>
      <c r="E12" s="6" t="s">
        <v>41</v>
      </c>
      <c r="F12" s="7" t="n">
        <v>510</v>
      </c>
      <c r="I12" s="7" t="n">
        <v>510</v>
      </c>
    </row>
    <row r="13" customFormat="false" ht="15" hidden="false" customHeight="false" outlineLevel="0" collapsed="false">
      <c r="A13" s="6" t="n">
        <v>8</v>
      </c>
      <c r="B13" s="6" t="s">
        <v>42</v>
      </c>
      <c r="C13" s="6" t="s">
        <v>43</v>
      </c>
      <c r="D13" s="6" t="s">
        <v>21</v>
      </c>
      <c r="E13" s="6" t="s">
        <v>44</v>
      </c>
      <c r="F13" s="7" t="n">
        <v>145</v>
      </c>
      <c r="G13" s="7" t="n">
        <v>145</v>
      </c>
    </row>
    <row r="14" customFormat="false" ht="15" hidden="false" customHeight="false" outlineLevel="0" collapsed="false">
      <c r="A14" s="6" t="n">
        <v>9</v>
      </c>
      <c r="B14" s="6" t="s">
        <v>45</v>
      </c>
      <c r="C14" s="6" t="s">
        <v>46</v>
      </c>
      <c r="D14" s="6" t="s">
        <v>47</v>
      </c>
      <c r="E14" s="6" t="s">
        <v>48</v>
      </c>
      <c r="F14" s="7" t="n">
        <v>165</v>
      </c>
      <c r="K14" s="7" t="n">
        <v>165</v>
      </c>
    </row>
    <row r="15" customFormat="false" ht="15" hidden="false" customHeight="false" outlineLevel="0" collapsed="false">
      <c r="A15" s="6" t="n">
        <v>10</v>
      </c>
      <c r="B15" s="6" t="s">
        <v>49</v>
      </c>
      <c r="C15" s="6" t="s">
        <v>50</v>
      </c>
      <c r="D15" s="6" t="s">
        <v>51</v>
      </c>
      <c r="E15" s="6" t="s">
        <v>52</v>
      </c>
      <c r="F15" s="7" t="n">
        <v>110</v>
      </c>
      <c r="K15" s="7" t="n">
        <v>110</v>
      </c>
    </row>
    <row r="17" customFormat="false" ht="15" hidden="false" customHeight="false" outlineLevel="0" collapsed="false">
      <c r="B17" s="8" t="s">
        <v>53</v>
      </c>
      <c r="F17" s="9" t="n">
        <f aca="false">SUM(F6:F16)</f>
        <v>6635</v>
      </c>
      <c r="G17" s="9" t="n">
        <f aca="false">SUM(G6:G16)</f>
        <v>3780</v>
      </c>
      <c r="H17" s="9" t="n">
        <f aca="false">SUM(H6:H16)</f>
        <v>2070</v>
      </c>
      <c r="I17" s="9" t="n">
        <f aca="false">SUM(I6:I16)</f>
        <v>510</v>
      </c>
      <c r="J17" s="9" t="n">
        <f aca="false">SUM(J6:J16)</f>
        <v>0</v>
      </c>
      <c r="K17" s="9" t="n">
        <f aca="false">SUM(K6:K16)</f>
        <v>275</v>
      </c>
    </row>
    <row r="18" customFormat="false" ht="15" hidden="false" customHeight="false" outlineLevel="0" collapsed="false">
      <c r="B18" s="8" t="s">
        <v>54</v>
      </c>
      <c r="G18" s="10" t="n">
        <f aca="false">IF(F17&lt;&gt;0,G17/F17,0)</f>
        <v>0.569706103993971</v>
      </c>
      <c r="H18" s="10" t="n">
        <f aca="false">IF(F17&lt;&gt;0,H17/F17,0)</f>
        <v>0.311981914091937</v>
      </c>
      <c r="I18" s="10" t="n">
        <f aca="false">IF(F17&lt;&gt;0,I17/F17,0)</f>
        <v>0.0768651092690279</v>
      </c>
      <c r="J18" s="10" t="n">
        <f aca="false">IF(F17&lt;&gt;0,J17/F17,0)</f>
        <v>0</v>
      </c>
      <c r="K18" s="10" t="n">
        <f aca="false">IF(F17&lt;&gt;0,K17/F17,0)</f>
        <v>0.0414468726450641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2026-03-23T07:58:53Z</dcterms:created>
  <dc:creator>openpyxl</dc:creator>
  <dc:description/>
  <dc:language>en-US</dc:language>
  <cp:lastModifiedBy/>
  <dcterms:modified xsi:type="dcterms:W3CDTF">2026-03-23T07:58:53Z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