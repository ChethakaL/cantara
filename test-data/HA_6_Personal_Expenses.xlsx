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000000"/>
      <sz val="12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8FC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0" customWidth="1" min="4" max="4"/>
    <col width="20" customWidth="1" min="5" max="5"/>
    <col width="14" customWidth="1" min="6" max="6"/>
    <col width="18" customWidth="1" min="7" max="7"/>
    <col width="12" customWidth="1" min="8" max="8"/>
    <col width="40" customWidth="1" min="9" max="9"/>
  </cols>
  <sheetData>
    <row r="1" ht="22" customHeight="1">
      <c r="A1" s="1" t="inlineStr">
        <is>
          <t>Harborview Pet Resort, LLC</t>
        </is>
      </c>
    </row>
    <row r="2" ht="18" customHeight="1">
      <c r="A2" s="2" t="inlineStr">
        <is>
          <t>Personal Expenses Charged to Business — 36-Month Summary</t>
        </is>
      </c>
    </row>
    <row r="3">
      <c r="A3" s="3" t="inlineStr">
        <is>
          <t>January 2022 — December 2024  |  GL Cross-Reference Included</t>
        </is>
      </c>
    </row>
    <row r="4">
      <c r="A4" t="inlineStr"/>
    </row>
    <row r="5">
      <c r="A5" s="4" t="inlineStr">
        <is>
          <t>#</t>
        </is>
      </c>
      <c r="B5" s="4" t="inlineStr">
        <is>
          <t>Expense Description</t>
        </is>
      </c>
      <c r="C5" s="4" t="inlineStr">
        <is>
          <t>GL Account</t>
        </is>
      </c>
      <c r="D5" s="4" t="inlineStr">
        <is>
          <t>GL Code</t>
        </is>
      </c>
      <c r="E5" s="4" t="inlineStr">
        <is>
          <t>Annual Amount (Avg)</t>
        </is>
      </c>
      <c r="F5" s="4" t="inlineStr">
        <is>
          <t>Monthly Avg</t>
        </is>
      </c>
      <c r="G5" s="4" t="inlineStr">
        <is>
          <t>Years Covered</t>
        </is>
      </c>
      <c r="H5" s="4" t="inlineStr">
        <is>
          <t>Add-Back?</t>
        </is>
      </c>
      <c r="I5" s="4" t="inlineStr">
        <is>
          <t>Notes</t>
        </is>
      </c>
    </row>
    <row r="6">
      <c r="A6" s="5" t="n">
        <v>1</v>
      </c>
      <c r="B6" s="6" t="inlineStr">
        <is>
          <t>Owner personal vehicle — not a company vehicle</t>
        </is>
      </c>
      <c r="C6" s="6" t="inlineStr">
        <is>
          <t>Auto Expense</t>
        </is>
      </c>
      <c r="D6" s="6" t="inlineStr">
        <is>
          <t>7400</t>
        </is>
      </c>
      <c r="E6" s="7" t="n">
        <v>6240</v>
      </c>
      <c r="F6" s="7" t="n">
        <v>520</v>
      </c>
      <c r="G6" s="6" t="inlineStr">
        <is>
          <t>2022, 2023, 2024</t>
        </is>
      </c>
      <c r="H6" s="6" t="inlineStr">
        <is>
          <t>Yes</t>
        </is>
      </c>
      <c r="I6" s="6" t="inlineStr">
        <is>
          <t>Owner's personal truck. Avg $520/month. Actual amounts vary — see Monthly Detail tab.</t>
        </is>
      </c>
    </row>
    <row r="7">
      <c r="A7" s="8" t="n">
        <v>2</v>
      </c>
      <c r="B7" s="9" t="inlineStr">
        <is>
          <t>Owner personal cell phone on business account</t>
        </is>
      </c>
      <c r="C7" s="9" t="inlineStr">
        <is>
          <t>Personal Cell Phone</t>
        </is>
      </c>
      <c r="D7" s="9" t="inlineStr">
        <is>
          <t>7401</t>
        </is>
      </c>
      <c r="E7" s="10" t="n">
        <v>3360</v>
      </c>
      <c r="F7" s="10" t="n">
        <v>280</v>
      </c>
      <c r="G7" s="9" t="inlineStr">
        <is>
          <t>2022, 2023, 2024</t>
        </is>
      </c>
      <c r="H7" s="9" t="inlineStr">
        <is>
          <t>Yes</t>
        </is>
      </c>
      <c r="I7" s="9" t="inlineStr">
        <is>
          <t>Fixed $280/month. Owner's personal iPhone. Not a business-required device.</t>
        </is>
      </c>
    </row>
    <row r="8">
      <c r="A8" s="5" t="n">
        <v>3</v>
      </c>
      <c r="B8" s="6" t="inlineStr">
        <is>
          <t>Owner personal charitable donations</t>
        </is>
      </c>
      <c r="C8" s="6" t="inlineStr">
        <is>
          <t>Donations</t>
        </is>
      </c>
      <c r="D8" s="6" t="inlineStr">
        <is>
          <t>7300</t>
        </is>
      </c>
      <c r="E8" s="7" t="n">
        <v>3000</v>
      </c>
      <c r="F8" s="7" t="n">
        <v>250</v>
      </c>
      <c r="G8" s="6" t="inlineStr">
        <is>
          <t>2022, 2023, 2024</t>
        </is>
      </c>
      <c r="H8" s="6" t="inlineStr">
        <is>
          <t>Yes</t>
        </is>
      </c>
      <c r="I8" s="6" t="inlineStr">
        <is>
          <t>~$250/quarter to local charities. Personal — not business-related.</t>
        </is>
      </c>
    </row>
    <row r="9">
      <c r="A9" s="11" t="inlineStr"/>
      <c r="B9" s="11" t="inlineStr">
        <is>
          <t>TOTAL PERSONAL EXPENSES</t>
        </is>
      </c>
      <c r="C9" s="11" t="inlineStr"/>
      <c r="D9" s="11" t="inlineStr"/>
      <c r="E9" s="12" t="n">
        <v>12600</v>
      </c>
      <c r="F9" s="12" t="n">
        <v>1050</v>
      </c>
      <c r="G9" s="11" t="inlineStr"/>
      <c r="H9" s="11" t="inlineStr"/>
      <c r="I9" s="11" t="inlineStr"/>
    </row>
    <row r="11">
      <c r="A11" s="13" t="inlineStr">
        <is>
          <t>• All three items above are personal in nature and will not continue post-sale — appropriate add-backs for EBITDA recast.</t>
        </is>
      </c>
    </row>
    <row r="12">
      <c r="A12" s="13" t="inlineStr">
        <is>
          <t>• Owner meals and travel are business-related and NOT included here.</t>
        </is>
      </c>
    </row>
    <row r="13">
      <c r="A13" s="13" t="inlineStr">
        <is>
          <t>• Auto Expense amounts vary monthly — see Monthly Detail tab for actual values from the P&amp;L.</t>
        </is>
      </c>
    </row>
    <row r="14">
      <c r="A14" s="13" t="inlineStr">
        <is>
          <t>• Donations are quarterly (~$250 each quarter), not monthly; monthly tab shows $0 in non-donation months.</t>
        </is>
      </c>
    </row>
  </sheetData>
  <mergeCells count="8">
    <mergeCell ref="A2:I2"/>
    <mergeCell ref="A11:I11"/>
    <mergeCell ref="A13:I13"/>
    <mergeCell ref="A14:I14"/>
    <mergeCell ref="A1:I1"/>
    <mergeCell ref="A3:I3"/>
    <mergeCell ref="A12:I1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 ht="22" customHeight="1">
      <c r="A1" s="1" t="inlineStr">
        <is>
          <t>Harborview Pet Resort, LLC</t>
        </is>
      </c>
    </row>
    <row r="2" ht="18" customHeight="1">
      <c r="A2" s="2" t="inlineStr">
        <is>
          <t>Personal Expenses — Monthly Detail</t>
        </is>
      </c>
    </row>
    <row r="3">
      <c r="A3" s="3" t="inlineStr">
        <is>
          <t>January 2022 — December 2024</t>
        </is>
      </c>
    </row>
    <row r="4">
      <c r="A4" t="inlineStr"/>
    </row>
    <row r="5">
      <c r="A5" s="4" t="inlineStr">
        <is>
          <t>#</t>
        </is>
      </c>
      <c r="B5" s="4" t="inlineStr">
        <is>
          <t>Expense Description</t>
        </is>
      </c>
      <c r="C5" s="4" t="inlineStr">
        <is>
          <t>GL Account</t>
        </is>
      </c>
      <c r="D5" s="4" t="inlineStr">
        <is>
          <t>GL Code</t>
        </is>
      </c>
      <c r="E5" s="4" t="inlineStr">
        <is>
          <t>Jan-2022</t>
        </is>
      </c>
      <c r="F5" s="4" t="inlineStr">
        <is>
          <t>Feb-2022</t>
        </is>
      </c>
      <c r="G5" s="4" t="inlineStr">
        <is>
          <t>Mar-2022</t>
        </is>
      </c>
      <c r="H5" s="4" t="inlineStr">
        <is>
          <t>Apr-2022</t>
        </is>
      </c>
      <c r="I5" s="4" t="inlineStr">
        <is>
          <t>May-2022</t>
        </is>
      </c>
      <c r="J5" s="4" t="inlineStr">
        <is>
          <t>Jun-2022</t>
        </is>
      </c>
      <c r="K5" s="4" t="inlineStr">
        <is>
          <t>Jul-2022</t>
        </is>
      </c>
      <c r="L5" s="4" t="inlineStr">
        <is>
          <t>Aug-2022</t>
        </is>
      </c>
      <c r="M5" s="4" t="inlineStr">
        <is>
          <t>Sep-2022</t>
        </is>
      </c>
      <c r="N5" s="4" t="inlineStr">
        <is>
          <t>Oct-2022</t>
        </is>
      </c>
      <c r="O5" s="4" t="inlineStr">
        <is>
          <t>Nov-2022</t>
        </is>
      </c>
      <c r="P5" s="4" t="inlineStr">
        <is>
          <t>Dec-2022</t>
        </is>
      </c>
      <c r="Q5" s="4" t="inlineStr">
        <is>
          <t>Jan-2023</t>
        </is>
      </c>
      <c r="R5" s="4" t="inlineStr">
        <is>
          <t>Feb-2023</t>
        </is>
      </c>
      <c r="S5" s="4" t="inlineStr">
        <is>
          <t>Mar-2023</t>
        </is>
      </c>
      <c r="T5" s="4" t="inlineStr">
        <is>
          <t>Apr-2023</t>
        </is>
      </c>
      <c r="U5" s="4" t="inlineStr">
        <is>
          <t>May-2023</t>
        </is>
      </c>
      <c r="V5" s="4" t="inlineStr">
        <is>
          <t>Jun-2023</t>
        </is>
      </c>
      <c r="W5" s="4" t="inlineStr">
        <is>
          <t>Jul-2023</t>
        </is>
      </c>
      <c r="X5" s="4" t="inlineStr">
        <is>
          <t>Aug-2023</t>
        </is>
      </c>
      <c r="Y5" s="4" t="inlineStr">
        <is>
          <t>Sep-2023</t>
        </is>
      </c>
      <c r="Z5" s="4" t="inlineStr">
        <is>
          <t>Oct-2023</t>
        </is>
      </c>
      <c r="AA5" s="4" t="inlineStr">
        <is>
          <t>Nov-2023</t>
        </is>
      </c>
      <c r="AB5" s="4" t="inlineStr">
        <is>
          <t>Dec-2023</t>
        </is>
      </c>
      <c r="AC5" s="4" t="inlineStr">
        <is>
          <t>Jan-2024</t>
        </is>
      </c>
      <c r="AD5" s="4" t="inlineStr">
        <is>
          <t>Feb-2024</t>
        </is>
      </c>
      <c r="AE5" s="4" t="inlineStr">
        <is>
          <t>Mar-2024</t>
        </is>
      </c>
      <c r="AF5" s="4" t="inlineStr">
        <is>
          <t>Apr-2024</t>
        </is>
      </c>
      <c r="AG5" s="4" t="inlineStr">
        <is>
          <t>May-2024</t>
        </is>
      </c>
      <c r="AH5" s="4" t="inlineStr">
        <is>
          <t>Jun-2024</t>
        </is>
      </c>
      <c r="AI5" s="4" t="inlineStr">
        <is>
          <t>Jul-2024</t>
        </is>
      </c>
      <c r="AJ5" s="4" t="inlineStr">
        <is>
          <t>Aug-2024</t>
        </is>
      </c>
      <c r="AK5" s="4" t="inlineStr">
        <is>
          <t>Sep-2024</t>
        </is>
      </c>
      <c r="AL5" s="4" t="inlineStr">
        <is>
          <t>Oct-2024</t>
        </is>
      </c>
      <c r="AM5" s="4" t="inlineStr">
        <is>
          <t>Nov-2024</t>
        </is>
      </c>
      <c r="AN5" s="4" t="inlineStr">
        <is>
          <t>Dec-2024</t>
        </is>
      </c>
      <c r="AO5" s="4" t="inlineStr">
        <is>
          <t>36-Month Total</t>
        </is>
      </c>
    </row>
    <row r="6">
      <c r="A6" s="5" t="n">
        <v>1</v>
      </c>
      <c r="B6" s="6" t="inlineStr">
        <is>
          <t>Owner personal vehicle (Auto Expense)</t>
        </is>
      </c>
      <c r="C6" s="6" t="inlineStr">
        <is>
          <t>Auto Expense</t>
        </is>
      </c>
      <c r="D6" s="6" t="inlineStr">
        <is>
          <t>7400</t>
        </is>
      </c>
      <c r="E6" s="7" t="n">
        <v>312</v>
      </c>
      <c r="F6" s="7" t="n">
        <v>498</v>
      </c>
      <c r="G6" s="7" t="n">
        <v>445</v>
      </c>
      <c r="H6" s="7" t="n">
        <v>387</v>
      </c>
      <c r="I6" s="7" t="n">
        <v>521</v>
      </c>
      <c r="J6" s="7" t="n">
        <v>489</v>
      </c>
      <c r="K6" s="7" t="n">
        <v>401</v>
      </c>
      <c r="L6" s="7" t="n">
        <v>533</v>
      </c>
      <c r="M6" s="7" t="n">
        <v>418</v>
      </c>
      <c r="N6" s="7" t="n">
        <v>356</v>
      </c>
      <c r="O6" s="7" t="n">
        <v>612</v>
      </c>
      <c r="P6" s="7" t="n">
        <v>568</v>
      </c>
      <c r="Q6" s="7" t="n">
        <v>398</v>
      </c>
      <c r="R6" s="7" t="n">
        <v>521</v>
      </c>
      <c r="S6" s="7" t="n">
        <v>467</v>
      </c>
      <c r="T6" s="7" t="n">
        <v>342</v>
      </c>
      <c r="U6" s="7" t="n">
        <v>534</v>
      </c>
      <c r="V6" s="7" t="n">
        <v>512</v>
      </c>
      <c r="W6" s="7" t="n">
        <v>388</v>
      </c>
      <c r="X6" s="7" t="n">
        <v>567</v>
      </c>
      <c r="Y6" s="7" t="n">
        <v>422</v>
      </c>
      <c r="Z6" s="7" t="n">
        <v>341</v>
      </c>
      <c r="AA6" s="7" t="n">
        <v>598</v>
      </c>
      <c r="AB6" s="7" t="n">
        <v>631</v>
      </c>
      <c r="AC6" s="7" t="n">
        <v>379</v>
      </c>
      <c r="AD6" s="7" t="n">
        <v>712</v>
      </c>
      <c r="AE6" s="7" t="n">
        <v>479</v>
      </c>
      <c r="AF6" s="7" t="n">
        <v>327</v>
      </c>
      <c r="AG6" s="7" t="n">
        <v>511</v>
      </c>
      <c r="AH6" s="7" t="n">
        <v>512</v>
      </c>
      <c r="AI6" s="7" t="n">
        <v>362</v>
      </c>
      <c r="AJ6" s="7" t="n">
        <v>554</v>
      </c>
      <c r="AK6" s="7" t="n">
        <v>404</v>
      </c>
      <c r="AL6" s="7" t="n">
        <v>326</v>
      </c>
      <c r="AM6" s="7" t="n">
        <v>586</v>
      </c>
      <c r="AN6" s="7" t="n">
        <v>620</v>
      </c>
      <c r="AO6" s="6">
        <f>SUM(E6:AN6)</f>
        <v/>
      </c>
    </row>
    <row r="7">
      <c r="A7" s="8" t="n">
        <v>2</v>
      </c>
      <c r="B7" s="9" t="inlineStr">
        <is>
          <t>Owner personal cell phone</t>
        </is>
      </c>
      <c r="C7" s="9" t="inlineStr">
        <is>
          <t>Personal Cell Phone</t>
        </is>
      </c>
      <c r="D7" s="9" t="inlineStr">
        <is>
          <t>7401</t>
        </is>
      </c>
      <c r="E7" s="10" t="n">
        <v>280</v>
      </c>
      <c r="F7" s="10" t="n">
        <v>280</v>
      </c>
      <c r="G7" s="10" t="n">
        <v>280</v>
      </c>
      <c r="H7" s="10" t="n">
        <v>280</v>
      </c>
      <c r="I7" s="10" t="n">
        <v>280</v>
      </c>
      <c r="J7" s="10" t="n">
        <v>280</v>
      </c>
      <c r="K7" s="10" t="n">
        <v>280</v>
      </c>
      <c r="L7" s="10" t="n">
        <v>280</v>
      </c>
      <c r="M7" s="10" t="n">
        <v>280</v>
      </c>
      <c r="N7" s="10" t="n">
        <v>280</v>
      </c>
      <c r="O7" s="10" t="n">
        <v>280</v>
      </c>
      <c r="P7" s="10" t="n">
        <v>280</v>
      </c>
      <c r="Q7" s="10" t="n">
        <v>280</v>
      </c>
      <c r="R7" s="10" t="n">
        <v>280</v>
      </c>
      <c r="S7" s="10" t="n">
        <v>280</v>
      </c>
      <c r="T7" s="10" t="n">
        <v>280</v>
      </c>
      <c r="U7" s="10" t="n">
        <v>280</v>
      </c>
      <c r="V7" s="10" t="n">
        <v>280</v>
      </c>
      <c r="W7" s="10" t="n">
        <v>280</v>
      </c>
      <c r="X7" s="10" t="n">
        <v>280</v>
      </c>
      <c r="Y7" s="10" t="n">
        <v>280</v>
      </c>
      <c r="Z7" s="10" t="n">
        <v>280</v>
      </c>
      <c r="AA7" s="10" t="n">
        <v>280</v>
      </c>
      <c r="AB7" s="10" t="n">
        <v>280</v>
      </c>
      <c r="AC7" s="10" t="n">
        <v>280</v>
      </c>
      <c r="AD7" s="10" t="n">
        <v>280</v>
      </c>
      <c r="AE7" s="10" t="n">
        <v>280</v>
      </c>
      <c r="AF7" s="10" t="n">
        <v>280</v>
      </c>
      <c r="AG7" s="10" t="n">
        <v>280</v>
      </c>
      <c r="AH7" s="10" t="n">
        <v>280</v>
      </c>
      <c r="AI7" s="10" t="n">
        <v>280</v>
      </c>
      <c r="AJ7" s="10" t="n">
        <v>280</v>
      </c>
      <c r="AK7" s="10" t="n">
        <v>280</v>
      </c>
      <c r="AL7" s="10" t="n">
        <v>280</v>
      </c>
      <c r="AM7" s="10" t="n">
        <v>280</v>
      </c>
      <c r="AN7" s="10" t="n">
        <v>280</v>
      </c>
      <c r="AO7" s="9">
        <f>SUM(E7:AN7)</f>
        <v/>
      </c>
    </row>
    <row r="8">
      <c r="A8" s="5" t="n">
        <v>3</v>
      </c>
      <c r="B8" s="6" t="inlineStr">
        <is>
          <t>Owner charitable donations</t>
        </is>
      </c>
      <c r="C8" s="6" t="inlineStr">
        <is>
          <t>Donations</t>
        </is>
      </c>
      <c r="D8" s="6" t="inlineStr">
        <is>
          <t>7300</t>
        </is>
      </c>
      <c r="E8" s="7" t="n">
        <v>0</v>
      </c>
      <c r="F8" s="7" t="n">
        <v>0</v>
      </c>
      <c r="G8" s="7" t="n">
        <v>250</v>
      </c>
      <c r="H8" s="7" t="n">
        <v>0</v>
      </c>
      <c r="I8" s="7" t="n">
        <v>0</v>
      </c>
      <c r="J8" s="7" t="n">
        <v>250</v>
      </c>
      <c r="K8" s="7" t="n">
        <v>0</v>
      </c>
      <c r="L8" s="7" t="n">
        <v>0</v>
      </c>
      <c r="M8" s="7" t="n">
        <v>250</v>
      </c>
      <c r="N8" s="7" t="n">
        <v>0</v>
      </c>
      <c r="O8" s="7" t="n">
        <v>0</v>
      </c>
      <c r="P8" s="7" t="n">
        <v>250</v>
      </c>
      <c r="Q8" s="7" t="n">
        <v>0</v>
      </c>
      <c r="R8" s="7" t="n">
        <v>0</v>
      </c>
      <c r="S8" s="7" t="n">
        <v>250</v>
      </c>
      <c r="T8" s="7" t="n">
        <v>0</v>
      </c>
      <c r="U8" s="7" t="n">
        <v>0</v>
      </c>
      <c r="V8" s="7" t="n">
        <v>250</v>
      </c>
      <c r="W8" s="7" t="n">
        <v>0</v>
      </c>
      <c r="X8" s="7" t="n">
        <v>0</v>
      </c>
      <c r="Y8" s="7" t="n">
        <v>250</v>
      </c>
      <c r="Z8" s="7" t="n">
        <v>0</v>
      </c>
      <c r="AA8" s="7" t="n">
        <v>0</v>
      </c>
      <c r="AB8" s="7" t="n">
        <v>250</v>
      </c>
      <c r="AC8" s="7" t="n">
        <v>0</v>
      </c>
      <c r="AD8" s="7" t="n">
        <v>0</v>
      </c>
      <c r="AE8" s="7" t="n">
        <v>250</v>
      </c>
      <c r="AF8" s="7" t="n">
        <v>0</v>
      </c>
      <c r="AG8" s="7" t="n">
        <v>0</v>
      </c>
      <c r="AH8" s="7" t="n">
        <v>250</v>
      </c>
      <c r="AI8" s="7" t="n">
        <v>0</v>
      </c>
      <c r="AJ8" s="7" t="n">
        <v>0</v>
      </c>
      <c r="AK8" s="7" t="n">
        <v>250</v>
      </c>
      <c r="AL8" s="7" t="n">
        <v>0</v>
      </c>
      <c r="AM8" s="7" t="n">
        <v>0</v>
      </c>
      <c r="AN8" s="7" t="n">
        <v>250</v>
      </c>
      <c r="AO8" s="6">
        <f>SUM(E8:AN8)</f>
        <v/>
      </c>
    </row>
    <row r="9">
      <c r="A9" s="11" t="inlineStr"/>
      <c r="B9" s="11" t="inlineStr">
        <is>
          <t>TOTAL</t>
        </is>
      </c>
      <c r="C9" s="11" t="inlineStr"/>
      <c r="D9" s="11" t="inlineStr"/>
      <c r="E9" s="12" t="n">
        <v>592</v>
      </c>
      <c r="F9" s="12" t="n">
        <v>778</v>
      </c>
      <c r="G9" s="12" t="n">
        <v>975</v>
      </c>
      <c r="H9" s="12" t="n">
        <v>667</v>
      </c>
      <c r="I9" s="12" t="n">
        <v>801</v>
      </c>
      <c r="J9" s="12" t="n">
        <v>1019</v>
      </c>
      <c r="K9" s="12" t="n">
        <v>681</v>
      </c>
      <c r="L9" s="12" t="n">
        <v>813</v>
      </c>
      <c r="M9" s="12" t="n">
        <v>948</v>
      </c>
      <c r="N9" s="12" t="n">
        <v>636</v>
      </c>
      <c r="O9" s="12" t="n">
        <v>892</v>
      </c>
      <c r="P9" s="12" t="n">
        <v>1098</v>
      </c>
      <c r="Q9" s="12" t="n">
        <v>678</v>
      </c>
      <c r="R9" s="12" t="n">
        <v>801</v>
      </c>
      <c r="S9" s="12" t="n">
        <v>997</v>
      </c>
      <c r="T9" s="12" t="n">
        <v>622</v>
      </c>
      <c r="U9" s="12" t="n">
        <v>814</v>
      </c>
      <c r="V9" s="12" t="n">
        <v>1042</v>
      </c>
      <c r="W9" s="12" t="n">
        <v>668</v>
      </c>
      <c r="X9" s="12" t="n">
        <v>847</v>
      </c>
      <c r="Y9" s="12" t="n">
        <v>952</v>
      </c>
      <c r="Z9" s="12" t="n">
        <v>621</v>
      </c>
      <c r="AA9" s="12" t="n">
        <v>878</v>
      </c>
      <c r="AB9" s="12" t="n">
        <v>1161</v>
      </c>
      <c r="AC9" s="12" t="n">
        <v>659</v>
      </c>
      <c r="AD9" s="12" t="n">
        <v>992</v>
      </c>
      <c r="AE9" s="12" t="n">
        <v>1009</v>
      </c>
      <c r="AF9" s="12" t="n">
        <v>607</v>
      </c>
      <c r="AG9" s="12" t="n">
        <v>791</v>
      </c>
      <c r="AH9" s="12" t="n">
        <v>1042</v>
      </c>
      <c r="AI9" s="12" t="n">
        <v>642</v>
      </c>
      <c r="AJ9" s="12" t="n">
        <v>834</v>
      </c>
      <c r="AK9" s="12" t="n">
        <v>934</v>
      </c>
      <c r="AL9" s="12" t="n">
        <v>606</v>
      </c>
      <c r="AM9" s="12" t="n">
        <v>866</v>
      </c>
      <c r="AN9" s="12" t="n">
        <v>1150</v>
      </c>
      <c r="AO9" s="11">
        <f>SUM(E9:AN9)</f>
        <v/>
      </c>
    </row>
  </sheetData>
  <mergeCells count="4">
    <mergeCell ref="A4:AO4"/>
    <mergeCell ref="A3:AO3"/>
    <mergeCell ref="A2:AO2"/>
    <mergeCell ref="A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2026-03-23T09:32:14Z</dcterms:created>
  <dcterms:modified xmlns:dcterms="http://purl.org/dc/terms/" xmlns:xsi="http://www.w3.org/2001/XMLSchema-instance" xsi:type="dcterms:W3CDTF">2026-03-23T09:32:15Z</dcterms:modified>
</cp:coreProperties>
</file>