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tat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<sst xmlns="http://schemas.openxmlformats.org/spreadsheetml/2006/main" count="29" uniqueCount="29">
  <si>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Harborview Pet Resort, LLC</t>
  </si>
  <si>
    <t xml:space="preserve">Compiled Financial Statements — For Management Use Only</t>
  </si>
  <si>
    <t xml:space="preserve">Prepared by: [CPA Firm Name] | Not Audited | Not Reviewed</t>
  </si>
  <si>
    <t xml:space="preserve">Line Item</t>
  </si>
  <si>
    <t xml:space="preserve">FY 2022</t>
  </si>
  <si>
    <t xml:space="preserve">FY 2023</t>
  </si>
  <si>
    <t xml:space="preserve">FY 2024</t>
  </si>
  <si>
    <t xml:space="preserve">INCOME STATEMENT</t>
  </si>
  <si>
    <t xml:space="preserve">Total Revenue</t>
  </si>
  <si>
    <t xml:space="preserve">Total Cost of Goods Sold</t>
  </si>
  <si>
    <t xml:space="preserve">Gross Profit</t>
  </si>
  <si>
    <t xml:space="preserve">Gross Margin %</t>
  </si>
  <si>
    <t xml:space="preserve">OPERATING EXPENSES</t>
  </si>
  <si>
    <t xml:space="preserve">Total Payroll &amp; Labor (all-in)</t>
  </si>
  <si>
    <t xml:space="preserve">Rent &amp; Occupancy</t>
  </si>
  <si>
    <t xml:space="preserve">Utilities</t>
  </si>
  <si>
    <t xml:space="preserve">Marketing &amp; Advertising</t>
  </si>
  <si>
    <t xml:space="preserve">Insurance</t>
  </si>
  <si>
    <t xml:space="preserve">Repairs &amp; Maintenance</t>
  </si>
  <si>
    <t xml:space="preserve">Supplies</t>
  </si>
  <si>
    <t xml:space="preserve">Software &amp; Technology</t>
  </si>
  <si>
    <t xml:space="preserve">Professional Fees</t>
  </si>
  <si>
    <t xml:space="preserve">Credit Card Processing</t>
  </si>
  <si>
    <t xml:space="preserve">Other Operating Expenses</t>
  </si>
  <si>
    <t xml:space="preserve">Total Operating Expenses</t>
  </si>
  <si>
    <t xml:space="preserve">EBITDA (Pre-Recast, Pre-D&amp;A)</t>
  </si>
  <si>
    <t xml:space="preserve">Depreciation &amp; Amortization</t>
  </si>
  <si>
    <t xml:space="preserve">Interest Expense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</si>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</sst>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2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5" hidden="false" customHeight="false" outlineLevel="0" collapsed="false">
      <c r="A7" s="6" t="s">
        <v>7</v>
      </c>
    </row>
    <row r="8" customFormat="false" ht="15" hidden="false" customHeight="false" outlineLevel="0" collapsed="false">
      <c r="A8" s="7" t="s">
        <v>8</v>
      </c>
      <c r="B8" s="8" t="n">
        <v>1123760</v>
      </c>
      <c r="C8" s="8" t="n">
        <v>1213875</v>
      </c>
      <c r="D8" s="8" t="n">
        <v>1285878</v>
      </c>
    </row>
    <row r="9" customFormat="false" ht="15" hidden="false" customHeight="false" outlineLevel="0" collapsed="false">
      <c r="A9" s="7" t="s">
        <v>9</v>
      </c>
      <c r="B9" s="8" t="n">
        <v>15985</v>
      </c>
      <c r="C9" s="8" t="n">
        <v>16944</v>
      </c>
      <c r="D9" s="8" t="n">
        <v>17191</v>
      </c>
    </row>
    <row r="10" customFormat="false" ht="15" hidden="false" customHeight="false" outlineLevel="0" collapsed="false">
      <c r="A10" s="6" t="s">
        <v>10</v>
      </c>
      <c r="B10" s="8" t="n">
        <v>1107775</v>
      </c>
      <c r="C10" s="8" t="n">
        <v>1196084</v>
      </c>
      <c r="D10" s="8" t="n">
        <v>1268687</v>
      </c>
    </row>
    <row r="11" customFormat="false" ht="15" hidden="false" customHeight="false" outlineLevel="0" collapsed="false">
      <c r="A11" s="7" t="s">
        <v>11</v>
      </c>
      <c r="B11" s="9" t="n">
        <f aca="false">B10/B8</f>
        <v>0.985775432476685</v>
      </c>
      <c r="C11" s="9" t="n">
        <f aca="false">C10/C8</f>
        <v>0.985343630933992</v>
      </c>
      <c r="D11" s="9" t="n">
        <f aca="false">D10/D8</f>
        <v>0.986630924551163</v>
      </c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6" t="s">
        <v>12</v>
      </c>
    </row>
    <row r="14" customFormat="false" ht="15" hidden="false" customHeight="false" outlineLevel="0" collapsed="false">
      <c r="A14" s="7" t="s">
        <v>13</v>
      </c>
      <c r="B14" s="8" t="n">
        <v>726381</v>
      </c>
      <c r="C14" s="8" t="n">
        <v>760667</v>
      </c>
      <c r="D14" s="8" t="n">
        <v>783652</v>
      </c>
    </row>
    <row r="15" customFormat="false" ht="15" hidden="false" customHeight="false" outlineLevel="0" collapsed="false">
      <c r="A15" s="7" t="s">
        <v>14</v>
      </c>
      <c r="B15" s="8" t="n">
        <v>198360</v>
      </c>
      <c r="C15" s="8" t="n">
        <v>198360</v>
      </c>
      <c r="D15" s="8" t="n">
        <v>198360</v>
      </c>
    </row>
    <row r="16" customFormat="false" ht="15" hidden="false" customHeight="false" outlineLevel="0" collapsed="false">
      <c r="A16" s="7" t="s">
        <v>15</v>
      </c>
      <c r="B16" s="8" t="n">
        <v>46840</v>
      </c>
      <c r="C16" s="8" t="n">
        <v>47830</v>
      </c>
      <c r="D16" s="8" t="n">
        <v>46532</v>
      </c>
    </row>
    <row r="17" customFormat="false" ht="15" hidden="false" customHeight="false" outlineLevel="0" collapsed="false">
      <c r="A17" s="7" t="s">
        <v>16</v>
      </c>
      <c r="B17" s="8" t="n">
        <v>35819</v>
      </c>
      <c r="C17" s="8" t="n">
        <v>36904</v>
      </c>
      <c r="D17" s="8" t="n">
        <v>35616</v>
      </c>
    </row>
    <row r="18" customFormat="false" ht="15" hidden="false" customHeight="false" outlineLevel="0" collapsed="false">
      <c r="A18" s="7" t="s">
        <v>17</v>
      </c>
      <c r="B18" s="8" t="n">
        <v>15200</v>
      </c>
      <c r="C18" s="8" t="n">
        <v>15200</v>
      </c>
      <c r="D18" s="8" t="n">
        <v>15200</v>
      </c>
    </row>
    <row r="19" customFormat="false" ht="15" hidden="false" customHeight="false" outlineLevel="0" collapsed="false">
      <c r="A19" s="7" t="s">
        <v>18</v>
      </c>
      <c r="B19" s="8" t="n">
        <v>11828</v>
      </c>
      <c r="C19" s="8" t="n">
        <v>32539</v>
      </c>
      <c r="D19" s="8" t="n">
        <v>11157</v>
      </c>
    </row>
    <row r="20" customFormat="false" ht="15" hidden="false" customHeight="false" outlineLevel="0" collapsed="false">
      <c r="A20" s="7" t="s">
        <v>19</v>
      </c>
      <c r="B20" s="8" t="n">
        <v>35423</v>
      </c>
      <c r="C20" s="8" t="n">
        <v>38049</v>
      </c>
      <c r="D20" s="8" t="n">
        <v>38852</v>
      </c>
    </row>
    <row r="21" customFormat="false" ht="15" hidden="false" customHeight="false" outlineLevel="0" collapsed="false">
      <c r="A21" s="7" t="s">
        <v>20</v>
      </c>
      <c r="B21" s="8" t="n">
        <v>10440</v>
      </c>
      <c r="C21" s="8" t="n">
        <v>10440</v>
      </c>
      <c r="D21" s="8" t="n">
        <v>10440</v>
      </c>
    </row>
    <row r="22" customFormat="false" ht="15" hidden="false" customHeight="false" outlineLevel="0" collapsed="false">
      <c r="A22" s="7" t="s">
        <v>21</v>
      </c>
      <c r="B22" s="8" t="n">
        <v>16420</v>
      </c>
      <c r="C22" s="8" t="n">
        <v>8220</v>
      </c>
      <c r="D22" s="8" t="n">
        <v>8220</v>
      </c>
    </row>
    <row r="23" customFormat="false" ht="15" hidden="false" customHeight="false" outlineLevel="0" collapsed="false">
      <c r="A23" s="7" t="s">
        <v>22</v>
      </c>
      <c r="B23" s="8" t="n">
        <v>28647</v>
      </c>
      <c r="C23" s="8" t="n">
        <v>30982</v>
      </c>
      <c r="D23" s="8" t="n">
        <v>32885</v>
      </c>
    </row>
    <row r="24" customFormat="false" ht="15" hidden="false" customHeight="false" outlineLevel="0" collapsed="false">
      <c r="A24" s="7" t="s">
        <v>23</v>
      </c>
      <c r="B24" s="8" t="n">
        <v>22592</v>
      </c>
      <c r="C24" s="8" t="n">
        <v>23488</v>
      </c>
      <c r="D24" s="8" t="n">
        <v>21701</v>
      </c>
    </row>
    <row r="25" customFormat="false" ht="15" hidden="false" customHeight="false" outlineLevel="0" collapsed="false">
      <c r="A25" s="6" t="s">
        <v>24</v>
      </c>
      <c r="B25" s="8" t="n">
        <v>1147950</v>
      </c>
      <c r="C25" s="8" t="n">
        <v>1202679</v>
      </c>
      <c r="D25" s="8" t="n">
        <v>1202615</v>
      </c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6" t="s">
        <v>25</v>
      </c>
      <c r="B27" s="8" t="n">
        <v>-40175</v>
      </c>
      <c r="C27" s="8" t="n">
        <v>-6595</v>
      </c>
      <c r="D27" s="8" t="n">
        <v>66072</v>
      </c>
    </row>
    <row r="28" customFormat="false" ht="15" hidden="false" customHeight="false" outlineLevel="0" collapsed="false">
      <c r="A28" s="7" t="s">
        <v>26</v>
      </c>
      <c r="B28" s="8" t="n">
        <v>19800</v>
      </c>
      <c r="C28" s="8" t="n">
        <v>19800</v>
      </c>
      <c r="D28" s="8" t="n">
        <v>19800</v>
      </c>
    </row>
    <row r="29" customFormat="false" ht="15" hidden="false" customHeight="false" outlineLevel="0" collapsed="false">
      <c r="A29" s="7" t="s">
        <v>27</v>
      </c>
      <c r="B29" s="8" t="n">
        <v>5045</v>
      </c>
      <c r="C29" s="8" t="n">
        <v>5176</v>
      </c>
      <c r="D29" s="8" t="n">
        <v>5019</v>
      </c>
    </row>
    <row r="30" customFormat="false" ht="15" hidden="false" customHeight="false" outlineLevel="0" collapsed="false">
      <c r="A30" s="6" t="s">
        <v>28</v>
      </c>
      <c r="B30" s="8" t="n">
        <v>-65020</v>
      </c>
      <c r="C30" s="8" t="n">
        <v>-31571</v>
      </c>
      <c r="D30" s="8" t="n">
        <v>41253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2026-03-23T07:58:53Z</dcterms:created>
  <dc:creator>openpyxl</dc:creator>
  <dc:description/>
  <dc:language>en-US</dc:language>
  <cp:lastModifiedBy/>
  <dcterms:modified xsi:type="dcterms:W3CDTF">2026-03-23T07:58:53Z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