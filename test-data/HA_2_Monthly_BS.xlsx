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Y 2022" sheetId="1" state="visible" r:id="rId3"/>
    <sheet name="FY 2023" sheetId="2" state="visible" r:id="rId4"/>
    <sheet name="FY 2024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<sst xmlns="http://schemas.openxmlformats.org/spreadsheetml/2006/main" count="117" uniqueCount="67">
  <si>
    <t xml:space="preserve">Harborview Pet Resort, LLC</t>
  </si>
  <si>
    <t xml:space="preserve">Balance Sheet — Monthly Detail</t>
  </si>
  <si>
    <t xml:space="preserve">January 2022 — December 2022  |  GL Codes Opened</t>
  </si>
  <si>
    <t xml:space="preserve">GL Code</t>
  </si>
  <si>
    <t xml:space="preserve">Account</t>
  </si>
  <si>
    <t xml:space="preserve">Jan-2022</t>
  </si>
  <si>
    <t xml:space="preserve">Feb-2022</t>
  </si>
  <si>
    <t xml:space="preserve">Mar-2022</t>
  </si>
  <si>
    <t xml:space="preserve">Apr-2022</t>
  </si>
  <si>
    <t xml:space="preserve">May-2022</t>
  </si>
  <si>
    <t xml:space="preserve">Jun-2022</t>
  </si>
  <si>
    <t xml:space="preserve">Jul-2022</t>
  </si>
  <si>
    <t xml:space="preserve">Aug-2022</t>
  </si>
  <si>
    <t xml:space="preserve">Sep-2022</t>
  </si>
  <si>
    <t xml:space="preserve">Oct-2022</t>
  </si>
  <si>
    <t xml:space="preserve">Nov-2022</t>
  </si>
  <si>
    <t xml:space="preserve">Dec-2022</t>
  </si>
  <si>
    <t xml:space="preserve">Dec 2022 (EOM)</t>
  </si>
  <si>
    <t xml:space="preserve">ASSETS</t>
  </si>
  <si>
    <t xml:space="preserve">Current Assets</t>
  </si>
  <si>
    <t xml:space="preserve">1010</t>
  </si>
  <si>
    <t xml:space="preserve">Cash — Business Checking</t>
  </si>
  <si>
    <t xml:space="preserve">1200</t>
  </si>
  <si>
    <t xml:space="preserve">Accounts Receivable (A/R)</t>
  </si>
  <si>
    <t xml:space="preserve">1300</t>
  </si>
  <si>
    <t xml:space="preserve">Inventory Asset</t>
  </si>
  <si>
    <t xml:space="preserve">1400</t>
  </si>
  <si>
    <t xml:space="preserve">Prepaid Insurance</t>
  </si>
  <si>
    <t xml:space="preserve">Total Current Assets</t>
  </si>
  <si>
    <t xml:space="preserve">LIABILITIES &amp; EQUITY</t>
  </si>
  <si>
    <t xml:space="preserve">Current Liabilities</t>
  </si>
  <si>
    <t xml:space="preserve">2000</t>
  </si>
  <si>
    <t xml:space="preserve">Accounts Payable (A/P)</t>
  </si>
  <si>
    <t xml:space="preserve">2100</t>
  </si>
  <si>
    <t xml:space="preserve">Accrued Wages Payable</t>
  </si>
  <si>
    <t xml:space="preserve">2200</t>
  </si>
  <si>
    <t xml:space="preserve">Deferred Revenue</t>
  </si>
  <si>
    <t xml:space="preserve">Total Current Liabilities</t>
  </si>
  <si>
    <t xml:space="preserve">Net Working Capital</t>
  </si>
  <si>
    <t xml:space="preserve">January 2023 — December 2023  |  GL Codes Opened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</si>
  <si>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</si>
  <si>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</si>
  <si>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</si>
  <si>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</si>
  <si>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</si>
  <si>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</si>
  <si>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</si>
  <si>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</si>
  <si>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</si>
  <si>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</si>
  <si>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</si>
  <si>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</si>
  <si>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Dec 2023 (EOM)</t>
  </si>
  <si>
    <t xml:space="preserve">January 2024 — December 2024  |  GL Codes Opened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</si>
  <si>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</si>
  <si>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</si>
  <si>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</si>
  <si>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</si>
  <si>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</si>
  <si>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</si>
  <si>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</si>
  <si>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</si>
  <si>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</si>
  <si>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</si>
  <si>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</si>
  <si>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</si>
  <si>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Dec 2024 (EOM)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</si>
</sst>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;\(#,##0.0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sz val="11"/>
      <name val="Calibri"/>
      <family val="0"/>
      <charset val="1"/>
    </font>
    <font>
      <i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9"/>
      <color rgb="FF666666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FFFFFF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7" t="s">
        <v>20</v>
      </c>
      <c r="B8" s="8" t="s">
        <v>21</v>
      </c>
      <c r="C8" s="9" t="n">
        <v>34569</v>
      </c>
      <c r="D8" s="9" t="n">
        <v>36019</v>
      </c>
      <c r="E8" s="9" t="n">
        <v>37331</v>
      </c>
      <c r="F8" s="9" t="n">
        <v>37608</v>
      </c>
      <c r="G8" s="9" t="n">
        <v>37747</v>
      </c>
      <c r="H8" s="9" t="n">
        <v>41519</v>
      </c>
      <c r="I8" s="9" t="n">
        <v>42067</v>
      </c>
      <c r="J8" s="9" t="n">
        <v>47156</v>
      </c>
      <c r="K8" s="9" t="n">
        <v>40971</v>
      </c>
      <c r="L8" s="9" t="n">
        <v>44957</v>
      </c>
      <c r="M8" s="9" t="n">
        <v>50676</v>
      </c>
      <c r="N8" s="9" t="n">
        <v>50607</v>
      </c>
      <c r="O8" s="9" t="n">
        <v>51818</v>
      </c>
    </row>
    <row r="9" customFormat="false" ht="15" hidden="false" customHeight="false" outlineLevel="0" collapsed="false">
      <c r="A9" s="7" t="s">
        <v>22</v>
      </c>
      <c r="B9" s="8" t="s">
        <v>23</v>
      </c>
      <c r="C9" s="9" t="n">
        <v>5922</v>
      </c>
      <c r="D9" s="9" t="n">
        <v>5275</v>
      </c>
      <c r="E9" s="9" t="n">
        <v>5718</v>
      </c>
      <c r="F9" s="9" t="n">
        <v>6578</v>
      </c>
      <c r="G9" s="9" t="n">
        <v>6667</v>
      </c>
      <c r="H9" s="9" t="n">
        <v>6675</v>
      </c>
      <c r="I9" s="9" t="n">
        <v>5841</v>
      </c>
      <c r="J9" s="9" t="n">
        <v>6323</v>
      </c>
      <c r="K9" s="9" t="n">
        <v>5531</v>
      </c>
      <c r="L9" s="9" t="n">
        <v>5215</v>
      </c>
      <c r="M9" s="9" t="n">
        <v>5371</v>
      </c>
      <c r="N9" s="9" t="n">
        <v>5939</v>
      </c>
      <c r="O9" s="9" t="n">
        <v>5503</v>
      </c>
    </row>
    <row r="10" customFormat="false" ht="15" hidden="false" customHeight="false" outlineLevel="0" collapsed="false">
      <c r="A10" s="7" t="s">
        <v>24</v>
      </c>
      <c r="B10" s="8" t="s">
        <v>25</v>
      </c>
      <c r="C10" s="9" t="n">
        <v>7016</v>
      </c>
      <c r="D10" s="9" t="n">
        <v>7639</v>
      </c>
      <c r="E10" s="9" t="n">
        <v>6865</v>
      </c>
      <c r="F10" s="9" t="n">
        <v>7073</v>
      </c>
      <c r="G10" s="9" t="n">
        <v>7078</v>
      </c>
      <c r="H10" s="9" t="n">
        <v>7449</v>
      </c>
      <c r="I10" s="9" t="n">
        <v>7304</v>
      </c>
      <c r="J10" s="9" t="n">
        <v>7104</v>
      </c>
      <c r="K10" s="9" t="n">
        <v>7127</v>
      </c>
      <c r="L10" s="9" t="n">
        <v>7583</v>
      </c>
      <c r="M10" s="9" t="n">
        <v>7213</v>
      </c>
      <c r="N10" s="9" t="n">
        <v>7612</v>
      </c>
      <c r="O10" s="9" t="n">
        <v>6899</v>
      </c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12000</v>
      </c>
      <c r="D11" s="9" t="n">
        <v>5500</v>
      </c>
      <c r="E11" s="9" t="n">
        <v>5000</v>
      </c>
      <c r="F11" s="9" t="n">
        <v>4500</v>
      </c>
      <c r="G11" s="9" t="n">
        <v>4000</v>
      </c>
      <c r="H11" s="9" t="n">
        <v>3500</v>
      </c>
      <c r="I11" s="9" t="n">
        <v>3000</v>
      </c>
      <c r="J11" s="9" t="n">
        <v>2500</v>
      </c>
      <c r="K11" s="9" t="n">
        <v>2000</v>
      </c>
      <c r="L11" s="9" t="n">
        <v>1500</v>
      </c>
      <c r="M11" s="9" t="n">
        <v>1000</v>
      </c>
      <c r="N11" s="9" t="n">
        <v>500</v>
      </c>
      <c r="O11" s="9" t="n">
        <v>500</v>
      </c>
    </row>
    <row r="12" customFormat="false" ht="15" hidden="false" customHeight="false" outlineLevel="0" collapsed="false">
      <c r="A12" s="7"/>
      <c r="B12" s="8" t="s">
        <v>28</v>
      </c>
      <c r="C12" s="10" t="n">
        <f aca="false">C8+C9+C10+C11</f>
        <v>59507</v>
      </c>
      <c r="D12" s="10" t="n">
        <f aca="false">D8+D9+D10+D11</f>
        <v>54433</v>
      </c>
      <c r="E12" s="10" t="n">
        <f aca="false">E8+E9+E10+E11</f>
        <v>54914</v>
      </c>
      <c r="F12" s="10" t="n">
        <f aca="false">F8+F9+F10+F11</f>
        <v>55759</v>
      </c>
      <c r="G12" s="10" t="n">
        <f aca="false">G8+G9+G10+G11</f>
        <v>55492</v>
      </c>
      <c r="H12" s="10" t="n">
        <f aca="false">H8+H9+H10+H11</f>
        <v>59143</v>
      </c>
      <c r="I12" s="10" t="n">
        <f aca="false">I8+I9+I10+I11</f>
        <v>58212</v>
      </c>
      <c r="J12" s="10" t="n">
        <f aca="false">J8+J9+J10+J11</f>
        <v>63083</v>
      </c>
      <c r="K12" s="10" t="n">
        <f aca="false">K8+K9+K10+K11</f>
        <v>55629</v>
      </c>
      <c r="L12" s="10" t="n">
        <f aca="false">L8+L9+L10+L11</f>
        <v>59255</v>
      </c>
      <c r="M12" s="10" t="n">
        <f aca="false">M8+M9+M10+M11</f>
        <v>64260</v>
      </c>
      <c r="N12" s="10" t="n">
        <f aca="false">N8+N9+N10+N11</f>
        <v>64658</v>
      </c>
      <c r="O12" s="10" t="n">
        <f aca="false">O8+O9+O10+O11</f>
        <v>64720</v>
      </c>
    </row>
    <row r="13" customFormat="false" ht="15" hidden="false" customHeight="false" outlineLevel="0" collapsed="false">
      <c r="A13" s="6"/>
      <c r="B13" s="6" t="s">
        <v>29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6"/>
      <c r="B14" s="6" t="s">
        <v>30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7" t="s">
        <v>31</v>
      </c>
      <c r="B15" s="8" t="s">
        <v>32</v>
      </c>
      <c r="C15" s="9" t="n">
        <v>6941</v>
      </c>
      <c r="D15" s="9" t="n">
        <v>7825</v>
      </c>
      <c r="E15" s="9" t="n">
        <v>7086</v>
      </c>
      <c r="F15" s="9" t="n">
        <v>7177</v>
      </c>
      <c r="G15" s="9" t="n">
        <v>6745</v>
      </c>
      <c r="H15" s="9" t="n">
        <v>7963</v>
      </c>
      <c r="I15" s="9" t="n">
        <v>6706</v>
      </c>
      <c r="J15" s="9" t="n">
        <v>6590</v>
      </c>
      <c r="K15" s="9" t="n">
        <v>6586</v>
      </c>
      <c r="L15" s="9" t="n">
        <v>7083</v>
      </c>
      <c r="M15" s="9" t="n">
        <v>7721</v>
      </c>
      <c r="N15" s="9" t="n">
        <v>7181</v>
      </c>
      <c r="O15" s="9" t="n">
        <v>7834</v>
      </c>
    </row>
    <row r="16" customFormat="false" ht="15" hidden="false" customHeight="false" outlineLevel="0" collapsed="false">
      <c r="A16" s="7" t="s">
        <v>33</v>
      </c>
      <c r="B16" s="8" t="s">
        <v>34</v>
      </c>
      <c r="C16" s="9" t="n">
        <v>6524</v>
      </c>
      <c r="D16" s="9" t="n">
        <v>6730</v>
      </c>
      <c r="E16" s="9" t="n">
        <v>6411</v>
      </c>
      <c r="F16" s="9" t="n">
        <v>6991</v>
      </c>
      <c r="G16" s="9" t="n">
        <v>6774</v>
      </c>
      <c r="H16" s="9" t="n">
        <v>6578</v>
      </c>
      <c r="I16" s="9" t="n">
        <v>6142</v>
      </c>
      <c r="J16" s="9" t="n">
        <v>6486</v>
      </c>
      <c r="K16" s="9" t="n">
        <v>6994</v>
      </c>
      <c r="L16" s="9" t="n">
        <v>6540</v>
      </c>
      <c r="M16" s="9" t="n">
        <v>6353</v>
      </c>
      <c r="N16" s="9" t="n">
        <v>6524</v>
      </c>
      <c r="O16" s="9" t="n">
        <v>6136</v>
      </c>
    </row>
    <row r="17" customFormat="false" ht="15" hidden="false" customHeight="false" outlineLevel="0" collapsed="false">
      <c r="A17" s="7" t="s">
        <v>35</v>
      </c>
      <c r="B17" s="8" t="s">
        <v>36</v>
      </c>
      <c r="C17" s="9" t="n">
        <v>4324</v>
      </c>
      <c r="D17" s="9" t="n">
        <v>4103</v>
      </c>
      <c r="E17" s="9" t="n">
        <v>3956</v>
      </c>
      <c r="F17" s="9" t="n">
        <v>4113</v>
      </c>
      <c r="G17" s="9" t="n">
        <v>3660</v>
      </c>
      <c r="H17" s="9" t="n">
        <v>4273</v>
      </c>
      <c r="I17" s="9" t="n">
        <v>3790</v>
      </c>
      <c r="J17" s="9" t="n">
        <v>4037</v>
      </c>
      <c r="K17" s="9" t="n">
        <v>4003</v>
      </c>
      <c r="L17" s="9" t="n">
        <v>4127</v>
      </c>
      <c r="M17" s="9" t="n">
        <v>4207</v>
      </c>
      <c r="N17" s="9" t="n">
        <v>4040</v>
      </c>
      <c r="O17" s="9" t="n">
        <v>3749</v>
      </c>
    </row>
    <row r="18" customFormat="false" ht="15" hidden="false" customHeight="false" outlineLevel="0" collapsed="false">
      <c r="A18" s="7"/>
      <c r="B18" s="8" t="s">
        <v>37</v>
      </c>
      <c r="C18" s="10" t="n">
        <f aca="false">C15+C16+C17</f>
        <v>17789</v>
      </c>
      <c r="D18" s="10" t="n">
        <f aca="false">D15+D16+D17</f>
        <v>18658</v>
      </c>
      <c r="E18" s="10" t="n">
        <f aca="false">E15+E16+E17</f>
        <v>17453</v>
      </c>
      <c r="F18" s="10" t="n">
        <f aca="false">F15+F16+F17</f>
        <v>18281</v>
      </c>
      <c r="G18" s="10" t="n">
        <f aca="false">G15+G16+G17</f>
        <v>17179</v>
      </c>
      <c r="H18" s="10" t="n">
        <f aca="false">H15+H16+H17</f>
        <v>18814</v>
      </c>
      <c r="I18" s="10" t="n">
        <f aca="false">I15+I16+I17</f>
        <v>16638</v>
      </c>
      <c r="J18" s="10" t="n">
        <f aca="false">J15+J16+J17</f>
        <v>17113</v>
      </c>
      <c r="K18" s="10" t="n">
        <f aca="false">K15+K16+K17</f>
        <v>17583</v>
      </c>
      <c r="L18" s="10" t="n">
        <f aca="false">L15+L16+L17</f>
        <v>17750</v>
      </c>
      <c r="M18" s="10" t="n">
        <f aca="false">M15+M16+M17</f>
        <v>18281</v>
      </c>
      <c r="N18" s="10" t="n">
        <f aca="false">N15+N16+N17</f>
        <v>17745</v>
      </c>
      <c r="O18" s="10" t="n">
        <f aca="false">O15+O16+O17</f>
        <v>17719</v>
      </c>
    </row>
    <row r="19" customFormat="false" ht="15" hidden="false" customHeight="false" outlineLevel="0" collapsed="false">
      <c r="A19" s="7"/>
      <c r="B19" s="8" t="s">
        <v>38</v>
      </c>
      <c r="C19" s="10" t="n">
        <f aca="false">C12-C18</f>
        <v>41718</v>
      </c>
      <c r="D19" s="10" t="n">
        <f aca="false">D12-D18</f>
        <v>35775</v>
      </c>
      <c r="E19" s="10" t="n">
        <f aca="false">E12-E18</f>
        <v>37461</v>
      </c>
      <c r="F19" s="10" t="n">
        <f aca="false">F12-F18</f>
        <v>37478</v>
      </c>
      <c r="G19" s="10" t="n">
        <f aca="false">G12-G18</f>
        <v>38313</v>
      </c>
      <c r="H19" s="10" t="n">
        <f aca="false">H12-H18</f>
        <v>40329</v>
      </c>
      <c r="I19" s="10" t="n">
        <f aca="false">I12-I18</f>
        <v>41574</v>
      </c>
      <c r="J19" s="10" t="n">
        <f aca="false">J12-J18</f>
        <v>45970</v>
      </c>
      <c r="K19" s="10" t="n">
        <f aca="false">K12-K18</f>
        <v>38046</v>
      </c>
      <c r="L19" s="10" t="n">
        <f aca="false">L12-L18</f>
        <v>41505</v>
      </c>
      <c r="M19" s="10" t="n">
        <f aca="false">M12-M18</f>
        <v>45979</v>
      </c>
      <c r="N19" s="10" t="n">
        <f aca="false">N12-N18</f>
        <v>46913</v>
      </c>
      <c r="O19" s="10" t="n">
        <f aca="false">O12-O18</f>
        <v>47001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39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7" t="s">
        <v>20</v>
      </c>
      <c r="B8" s="8" t="s">
        <v>21</v>
      </c>
      <c r="C8" s="9" t="n">
        <v>48266</v>
      </c>
      <c r="D8" s="9" t="n">
        <v>48767</v>
      </c>
      <c r="E8" s="9" t="n">
        <v>54246</v>
      </c>
      <c r="F8" s="9" t="n">
        <v>54999</v>
      </c>
      <c r="G8" s="9" t="n">
        <v>55721</v>
      </c>
      <c r="H8" s="9" t="n">
        <v>57588</v>
      </c>
      <c r="I8" s="9" t="n">
        <v>52683</v>
      </c>
      <c r="J8" s="9" t="n">
        <v>55787</v>
      </c>
      <c r="K8" s="9" t="n">
        <v>58576</v>
      </c>
      <c r="L8" s="9" t="n">
        <v>57353</v>
      </c>
      <c r="M8" s="9" t="n">
        <v>62055</v>
      </c>
      <c r="N8" s="9" t="n">
        <v>65703</v>
      </c>
      <c r="O8" s="9" t="n">
        <v>63064</v>
      </c>
    </row>
    <row r="9" customFormat="false" ht="15" hidden="false" customHeight="false" outlineLevel="0" collapsed="false">
      <c r="A9" s="7" t="s">
        <v>22</v>
      </c>
      <c r="B9" s="8" t="s">
        <v>23</v>
      </c>
      <c r="C9" s="9" t="n">
        <v>5758</v>
      </c>
      <c r="D9" s="9" t="n">
        <v>6262</v>
      </c>
      <c r="E9" s="9" t="n">
        <v>6594</v>
      </c>
      <c r="F9" s="9" t="n">
        <v>5935</v>
      </c>
      <c r="G9" s="9" t="n">
        <v>5701</v>
      </c>
      <c r="H9" s="9" t="n">
        <v>5590</v>
      </c>
      <c r="I9" s="9" t="n">
        <v>6275</v>
      </c>
      <c r="J9" s="9" t="n">
        <v>6055</v>
      </c>
      <c r="K9" s="9" t="n">
        <v>6275</v>
      </c>
      <c r="L9" s="9" t="n">
        <v>6447</v>
      </c>
      <c r="M9" s="9" t="n">
        <v>5249</v>
      </c>
      <c r="N9" s="9" t="n">
        <v>6403</v>
      </c>
      <c r="O9" s="9" t="n">
        <v>6390</v>
      </c>
    </row>
    <row r="10" customFormat="false" ht="15" hidden="false" customHeight="false" outlineLevel="0" collapsed="false">
      <c r="A10" s="7" t="s">
        <v>24</v>
      </c>
      <c r="B10" s="8" t="s">
        <v>25</v>
      </c>
      <c r="C10" s="9" t="n">
        <v>7074</v>
      </c>
      <c r="D10" s="9" t="n">
        <v>7618</v>
      </c>
      <c r="E10" s="9" t="n">
        <v>6940</v>
      </c>
      <c r="F10" s="9" t="n">
        <v>7501</v>
      </c>
      <c r="G10" s="9" t="n">
        <v>6988</v>
      </c>
      <c r="H10" s="9" t="n">
        <v>6873</v>
      </c>
      <c r="I10" s="9" t="n">
        <v>6802</v>
      </c>
      <c r="J10" s="9" t="n">
        <v>7617</v>
      </c>
      <c r="K10" s="9" t="n">
        <v>6943</v>
      </c>
      <c r="L10" s="9" t="n">
        <v>7350</v>
      </c>
      <c r="M10" s="9" t="n">
        <v>7093</v>
      </c>
      <c r="N10" s="9" t="n">
        <v>7462</v>
      </c>
      <c r="O10" s="9" t="n">
        <v>6816</v>
      </c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12000</v>
      </c>
      <c r="D11" s="9" t="n">
        <v>5500</v>
      </c>
      <c r="E11" s="9" t="n">
        <v>5000</v>
      </c>
      <c r="F11" s="9" t="n">
        <v>4500</v>
      </c>
      <c r="G11" s="9" t="n">
        <v>4000</v>
      </c>
      <c r="H11" s="9" t="n">
        <v>3500</v>
      </c>
      <c r="I11" s="9" t="n">
        <v>3000</v>
      </c>
      <c r="J11" s="9" t="n">
        <v>2500</v>
      </c>
      <c r="K11" s="9" t="n">
        <v>2000</v>
      </c>
      <c r="L11" s="9" t="n">
        <v>1500</v>
      </c>
      <c r="M11" s="9" t="n">
        <v>1000</v>
      </c>
      <c r="N11" s="9" t="n">
        <v>500</v>
      </c>
      <c r="O11" s="9" t="n">
        <v>500</v>
      </c>
    </row>
    <row r="12" customFormat="false" ht="15" hidden="false" customHeight="false" outlineLevel="0" collapsed="false">
      <c r="A12" s="7"/>
      <c r="B12" s="8" t="s">
        <v>28</v>
      </c>
      <c r="C12" s="10" t="n">
        <f aca="false">C8+C9+C10+C11</f>
        <v>73098</v>
      </c>
      <c r="D12" s="10" t="n">
        <f aca="false">D8+D9+D10+D11</f>
        <v>68147</v>
      </c>
      <c r="E12" s="10" t="n">
        <f aca="false">E8+E9+E10+E11</f>
        <v>72780</v>
      </c>
      <c r="F12" s="10" t="n">
        <f aca="false">F8+F9+F10+F11</f>
        <v>72935</v>
      </c>
      <c r="G12" s="10" t="n">
        <f aca="false">G8+G9+G10+G11</f>
        <v>72410</v>
      </c>
      <c r="H12" s="10" t="n">
        <f aca="false">H8+H9+H10+H11</f>
        <v>73551</v>
      </c>
      <c r="I12" s="10" t="n">
        <f aca="false">I8+I9+I10+I11</f>
        <v>68760</v>
      </c>
      <c r="J12" s="10" t="n">
        <f aca="false">J8+J9+J10+J11</f>
        <v>71959</v>
      </c>
      <c r="K12" s="10" t="n">
        <f aca="false">K8+K9+K10+K11</f>
        <v>73794</v>
      </c>
      <c r="L12" s="10" t="n">
        <f aca="false">L8+L9+L10+L11</f>
        <v>72650</v>
      </c>
      <c r="M12" s="10" t="n">
        <f aca="false">M8+M9+M10+M11</f>
        <v>75397</v>
      </c>
      <c r="N12" s="10" t="n">
        <f aca="false">N8+N9+N10+N11</f>
        <v>80068</v>
      </c>
      <c r="O12" s="10" t="n">
        <f aca="false">O8+O9+O10+O11</f>
        <v>76770</v>
      </c>
    </row>
    <row r="13" customFormat="false" ht="15" hidden="false" customHeight="false" outlineLevel="0" collapsed="false">
      <c r="A13" s="6"/>
      <c r="B13" s="6" t="s">
        <v>29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6"/>
      <c r="B14" s="6" t="s">
        <v>30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7" t="s">
        <v>31</v>
      </c>
      <c r="B15" s="8" t="s">
        <v>32</v>
      </c>
      <c r="C15" s="9" t="n">
        <v>7731</v>
      </c>
      <c r="D15" s="9" t="n">
        <v>7033</v>
      </c>
      <c r="E15" s="9" t="n">
        <v>7788</v>
      </c>
      <c r="F15" s="9" t="n">
        <v>7131</v>
      </c>
      <c r="G15" s="9" t="n">
        <v>7905</v>
      </c>
      <c r="H15" s="9" t="n">
        <v>6449</v>
      </c>
      <c r="I15" s="9" t="n">
        <v>6525</v>
      </c>
      <c r="J15" s="9" t="n">
        <v>7498</v>
      </c>
      <c r="K15" s="9" t="n">
        <v>6518</v>
      </c>
      <c r="L15" s="9" t="n">
        <v>7570</v>
      </c>
      <c r="M15" s="9" t="n">
        <v>6922</v>
      </c>
      <c r="N15" s="9" t="n">
        <v>6885</v>
      </c>
      <c r="O15" s="9" t="n">
        <v>7266</v>
      </c>
    </row>
    <row r="16" customFormat="false" ht="15" hidden="false" customHeight="false" outlineLevel="0" collapsed="false">
      <c r="A16" s="7" t="s">
        <v>33</v>
      </c>
      <c r="B16" s="8" t="s">
        <v>34</v>
      </c>
      <c r="C16" s="9" t="n">
        <v>6767</v>
      </c>
      <c r="D16" s="9" t="n">
        <v>6419</v>
      </c>
      <c r="E16" s="9" t="n">
        <v>6913</v>
      </c>
      <c r="F16" s="9" t="n">
        <v>6249</v>
      </c>
      <c r="G16" s="9" t="n">
        <v>6776</v>
      </c>
      <c r="H16" s="9" t="n">
        <v>6304</v>
      </c>
      <c r="I16" s="9" t="n">
        <v>6907</v>
      </c>
      <c r="J16" s="9" t="n">
        <v>6137</v>
      </c>
      <c r="K16" s="9" t="n">
        <v>6858</v>
      </c>
      <c r="L16" s="9" t="n">
        <v>6190</v>
      </c>
      <c r="M16" s="9" t="n">
        <v>6479</v>
      </c>
      <c r="N16" s="9" t="n">
        <v>6402</v>
      </c>
      <c r="O16" s="9" t="n">
        <v>6784</v>
      </c>
    </row>
    <row r="17" customFormat="false" ht="15" hidden="false" customHeight="false" outlineLevel="0" collapsed="false">
      <c r="A17" s="7" t="s">
        <v>35</v>
      </c>
      <c r="B17" s="8" t="s">
        <v>36</v>
      </c>
      <c r="C17" s="9" t="n">
        <v>4332</v>
      </c>
      <c r="D17" s="9" t="n">
        <v>4028</v>
      </c>
      <c r="E17" s="9" t="n">
        <v>3777</v>
      </c>
      <c r="F17" s="9" t="n">
        <v>3736</v>
      </c>
      <c r="G17" s="9" t="n">
        <v>4018</v>
      </c>
      <c r="H17" s="9" t="n">
        <v>3597</v>
      </c>
      <c r="I17" s="9" t="n">
        <v>3626</v>
      </c>
      <c r="J17" s="9" t="n">
        <v>4125</v>
      </c>
      <c r="K17" s="9" t="n">
        <v>4152</v>
      </c>
      <c r="L17" s="9" t="n">
        <v>3655</v>
      </c>
      <c r="M17" s="9" t="n">
        <v>4016</v>
      </c>
      <c r="N17" s="9" t="n">
        <v>3652</v>
      </c>
      <c r="O17" s="9" t="n">
        <v>4239</v>
      </c>
    </row>
    <row r="18" customFormat="false" ht="15" hidden="false" customHeight="false" outlineLevel="0" collapsed="false">
      <c r="A18" s="7"/>
      <c r="B18" s="8" t="s">
        <v>37</v>
      </c>
      <c r="C18" s="10" t="n">
        <f aca="false">C15+C16+C17</f>
        <v>18830</v>
      </c>
      <c r="D18" s="10" t="n">
        <f aca="false">D15+D16+D17</f>
        <v>17480</v>
      </c>
      <c r="E18" s="10" t="n">
        <f aca="false">E15+E16+E17</f>
        <v>18478</v>
      </c>
      <c r="F18" s="10" t="n">
        <f aca="false">F15+F16+F17</f>
        <v>17116</v>
      </c>
      <c r="G18" s="10" t="n">
        <f aca="false">G15+G16+G17</f>
        <v>18699</v>
      </c>
      <c r="H18" s="10" t="n">
        <f aca="false">H15+H16+H17</f>
        <v>16350</v>
      </c>
      <c r="I18" s="10" t="n">
        <f aca="false">I15+I16+I17</f>
        <v>17058</v>
      </c>
      <c r="J18" s="10" t="n">
        <f aca="false">J15+J16+J17</f>
        <v>17760</v>
      </c>
      <c r="K18" s="10" t="n">
        <f aca="false">K15+K16+K17</f>
        <v>17528</v>
      </c>
      <c r="L18" s="10" t="n">
        <f aca="false">L15+L16+L17</f>
        <v>17415</v>
      </c>
      <c r="M18" s="10" t="n">
        <f aca="false">M15+M16+M17</f>
        <v>17417</v>
      </c>
      <c r="N18" s="10" t="n">
        <f aca="false">N15+N16+N17</f>
        <v>16939</v>
      </c>
      <c r="O18" s="10" t="n">
        <f aca="false">O15+O16+O17</f>
        <v>18289</v>
      </c>
    </row>
    <row r="19" customFormat="false" ht="15" hidden="false" customHeight="false" outlineLevel="0" collapsed="false">
      <c r="A19" s="7"/>
      <c r="B19" s="8" t="s">
        <v>38</v>
      </c>
      <c r="C19" s="10" t="n">
        <f aca="false">C12-C18</f>
        <v>54268</v>
      </c>
      <c r="D19" s="10" t="n">
        <f aca="false">D12-D18</f>
        <v>50667</v>
      </c>
      <c r="E19" s="10" t="n">
        <f aca="false">E12-E18</f>
        <v>54302</v>
      </c>
      <c r="F19" s="10" t="n">
        <f aca="false">F12-F18</f>
        <v>55819</v>
      </c>
      <c r="G19" s="10" t="n">
        <f aca="false">G12-G18</f>
        <v>53711</v>
      </c>
      <c r="H19" s="10" t="n">
        <f aca="false">H12-H18</f>
        <v>57201</v>
      </c>
      <c r="I19" s="10" t="n">
        <f aca="false">I12-I18</f>
        <v>51702</v>
      </c>
      <c r="J19" s="10" t="n">
        <f aca="false">J12-J18</f>
        <v>54199</v>
      </c>
      <c r="K19" s="10" t="n">
        <f aca="false">K12-K18</f>
        <v>56266</v>
      </c>
      <c r="L19" s="10" t="n">
        <f aca="false">L12-L18</f>
        <v>55235</v>
      </c>
      <c r="M19" s="10" t="n">
        <f aca="false">M12-M18</f>
        <v>57980</v>
      </c>
      <c r="N19" s="10" t="n">
        <f aca="false">N12-N18</f>
        <v>63129</v>
      </c>
      <c r="O19" s="10" t="n">
        <f aca="false">O12-O18</f>
        <v>58481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6"/>
    <col collapsed="false" customWidth="true" hidden="false" outlineLevel="0" max="14" min="3" style="1" width="12"/>
    <col collapsed="false" customWidth="true" hidden="false" outlineLevel="0" max="15" min="15" style="1" width="14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53</v>
      </c>
    </row>
    <row r="5" customFormat="false" ht="15" hidden="false" customHeight="false" outlineLevel="0" collapsed="false">
      <c r="A5" s="5" t="s">
        <v>3</v>
      </c>
      <c r="B5" s="5" t="s">
        <v>4</v>
      </c>
      <c r="C5" s="5" t="s">
        <v>54</v>
      </c>
      <c r="D5" s="5" t="s">
        <v>55</v>
      </c>
      <c r="E5" s="5" t="s">
        <v>56</v>
      </c>
      <c r="F5" s="5" t="s">
        <v>57</v>
      </c>
      <c r="G5" s="5" t="s">
        <v>58</v>
      </c>
      <c r="H5" s="5" t="s">
        <v>59</v>
      </c>
      <c r="I5" s="5" t="s">
        <v>60</v>
      </c>
      <c r="J5" s="5" t="s">
        <v>61</v>
      </c>
      <c r="K5" s="5" t="s">
        <v>62</v>
      </c>
      <c r="L5" s="5" t="s">
        <v>63</v>
      </c>
      <c r="M5" s="5" t="s">
        <v>64</v>
      </c>
      <c r="N5" s="5" t="s">
        <v>65</v>
      </c>
      <c r="O5" s="5" t="s">
        <v>66</v>
      </c>
    </row>
    <row r="6" customFormat="false" ht="15" hidden="false" customHeight="false" outlineLevel="0" collapsed="false">
      <c r="A6" s="6"/>
      <c r="B6" s="6" t="s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customFormat="false" ht="15" hidden="false" customHeight="false" outlineLevel="0" collapsed="false">
      <c r="A7" s="6"/>
      <c r="B7" s="6" t="s">
        <v>19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customFormat="false" ht="15" hidden="false" customHeight="false" outlineLevel="0" collapsed="false">
      <c r="A8" s="7" t="s">
        <v>20</v>
      </c>
      <c r="B8" s="8" t="s">
        <v>21</v>
      </c>
      <c r="C8" s="9" t="n">
        <v>63901</v>
      </c>
      <c r="D8" s="9" t="n">
        <v>66155</v>
      </c>
      <c r="E8" s="9" t="n">
        <v>67483</v>
      </c>
      <c r="F8" s="9" t="n">
        <v>66534</v>
      </c>
      <c r="G8" s="9" t="n">
        <v>67510</v>
      </c>
      <c r="H8" s="9" t="n">
        <v>71185</v>
      </c>
      <c r="I8" s="9" t="n">
        <v>74967</v>
      </c>
      <c r="J8" s="9" t="n">
        <v>73247</v>
      </c>
      <c r="K8" s="9" t="n">
        <v>71295</v>
      </c>
      <c r="L8" s="9" t="n">
        <v>76947</v>
      </c>
      <c r="M8" s="9" t="n">
        <v>77930</v>
      </c>
      <c r="N8" s="9" t="n">
        <v>75070</v>
      </c>
      <c r="O8" s="9" t="n">
        <v>77312</v>
      </c>
    </row>
    <row r="9" customFormat="false" ht="15" hidden="false" customHeight="false" outlineLevel="0" collapsed="false">
      <c r="A9" s="7" t="s">
        <v>22</v>
      </c>
      <c r="B9" s="8" t="s">
        <v>23</v>
      </c>
      <c r="C9" s="9" t="n">
        <v>6580</v>
      </c>
      <c r="D9" s="9" t="n">
        <v>5434</v>
      </c>
      <c r="E9" s="9" t="n">
        <v>5899</v>
      </c>
      <c r="F9" s="9" t="n">
        <v>6405</v>
      </c>
      <c r="G9" s="9" t="n">
        <v>5732</v>
      </c>
      <c r="H9" s="9" t="n">
        <v>6062</v>
      </c>
      <c r="I9" s="9" t="n">
        <v>6148</v>
      </c>
      <c r="J9" s="9" t="n">
        <v>6019</v>
      </c>
      <c r="K9" s="9" t="n">
        <v>6113</v>
      </c>
      <c r="L9" s="9" t="n">
        <v>5717</v>
      </c>
      <c r="M9" s="9" t="n">
        <v>6043</v>
      </c>
      <c r="N9" s="9" t="n">
        <v>5419</v>
      </c>
      <c r="O9" s="9" t="n">
        <v>6030</v>
      </c>
    </row>
    <row r="10" customFormat="false" ht="15" hidden="false" customHeight="false" outlineLevel="0" collapsed="false">
      <c r="A10" s="7" t="s">
        <v>24</v>
      </c>
      <c r="B10" s="8" t="s">
        <v>25</v>
      </c>
      <c r="C10" s="9" t="n">
        <v>7423</v>
      </c>
      <c r="D10" s="9" t="n">
        <v>7588</v>
      </c>
      <c r="E10" s="9" t="n">
        <v>7028</v>
      </c>
      <c r="F10" s="9" t="n">
        <v>6944</v>
      </c>
      <c r="G10" s="9" t="n">
        <v>7186</v>
      </c>
      <c r="H10" s="9" t="n">
        <v>7012</v>
      </c>
      <c r="I10" s="9" t="n">
        <v>7601</v>
      </c>
      <c r="J10" s="9" t="n">
        <v>6988</v>
      </c>
      <c r="K10" s="9" t="n">
        <v>7429</v>
      </c>
      <c r="L10" s="9" t="n">
        <v>6843</v>
      </c>
      <c r="M10" s="9" t="n">
        <v>7254</v>
      </c>
      <c r="N10" s="9" t="n">
        <v>7129</v>
      </c>
      <c r="O10" s="9" t="n">
        <v>7369</v>
      </c>
    </row>
    <row r="11" customFormat="false" ht="15" hidden="false" customHeight="false" outlineLevel="0" collapsed="false">
      <c r="A11" s="7" t="s">
        <v>26</v>
      </c>
      <c r="B11" s="8" t="s">
        <v>27</v>
      </c>
      <c r="C11" s="9" t="n">
        <v>12000</v>
      </c>
      <c r="D11" s="9" t="n">
        <v>5500</v>
      </c>
      <c r="E11" s="9" t="n">
        <v>5000</v>
      </c>
      <c r="F11" s="9" t="n">
        <v>4500</v>
      </c>
      <c r="G11" s="9" t="n">
        <v>4000</v>
      </c>
      <c r="H11" s="9" t="n">
        <v>3500</v>
      </c>
      <c r="I11" s="9" t="n">
        <v>3000</v>
      </c>
      <c r="J11" s="9" t="n">
        <v>2500</v>
      </c>
      <c r="K11" s="9" t="n">
        <v>2000</v>
      </c>
      <c r="L11" s="9" t="n">
        <v>1500</v>
      </c>
      <c r="M11" s="9" t="n">
        <v>1000</v>
      </c>
      <c r="N11" s="9" t="n">
        <v>500</v>
      </c>
      <c r="O11" s="9" t="n">
        <v>500</v>
      </c>
    </row>
    <row r="12" customFormat="false" ht="15" hidden="false" customHeight="false" outlineLevel="0" collapsed="false">
      <c r="A12" s="7"/>
      <c r="B12" s="8" t="s">
        <v>28</v>
      </c>
      <c r="C12" s="10" t="n">
        <f aca="false">C8+C9+C10+C11</f>
        <v>89904</v>
      </c>
      <c r="D12" s="10" t="n">
        <f aca="false">D8+D9+D10+D11</f>
        <v>84677</v>
      </c>
      <c r="E12" s="10" t="n">
        <f aca="false">E8+E9+E10+E11</f>
        <v>85410</v>
      </c>
      <c r="F12" s="10" t="n">
        <f aca="false">F8+F9+F10+F11</f>
        <v>84383</v>
      </c>
      <c r="G12" s="10" t="n">
        <f aca="false">G8+G9+G10+G11</f>
        <v>84428</v>
      </c>
      <c r="H12" s="10" t="n">
        <f aca="false">H8+H9+H10+H11</f>
        <v>87759</v>
      </c>
      <c r="I12" s="10" t="n">
        <f aca="false">I8+I9+I10+I11</f>
        <v>91716</v>
      </c>
      <c r="J12" s="10" t="n">
        <f aca="false">J8+J9+J10+J11</f>
        <v>88754</v>
      </c>
      <c r="K12" s="10" t="n">
        <f aca="false">K8+K9+K10+K11</f>
        <v>86837</v>
      </c>
      <c r="L12" s="10" t="n">
        <f aca="false">L8+L9+L10+L11</f>
        <v>91007</v>
      </c>
      <c r="M12" s="10" t="n">
        <f aca="false">M8+M9+M10+M11</f>
        <v>92227</v>
      </c>
      <c r="N12" s="10" t="n">
        <f aca="false">N8+N9+N10+N11</f>
        <v>88118</v>
      </c>
      <c r="O12" s="10" t="n">
        <f aca="false">O8+O9+O10+O11</f>
        <v>91211</v>
      </c>
    </row>
    <row r="13" customFormat="false" ht="15" hidden="false" customHeight="false" outlineLevel="0" collapsed="false">
      <c r="A13" s="6"/>
      <c r="B13" s="6" t="s">
        <v>29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customFormat="false" ht="15" hidden="false" customHeight="false" outlineLevel="0" collapsed="false">
      <c r="A14" s="6"/>
      <c r="B14" s="6" t="s">
        <v>30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customFormat="false" ht="15" hidden="false" customHeight="false" outlineLevel="0" collapsed="false">
      <c r="A15" s="7" t="s">
        <v>31</v>
      </c>
      <c r="B15" s="8" t="s">
        <v>32</v>
      </c>
      <c r="C15" s="9" t="n">
        <v>7173</v>
      </c>
      <c r="D15" s="9" t="n">
        <v>7421</v>
      </c>
      <c r="E15" s="9" t="n">
        <v>7364</v>
      </c>
      <c r="F15" s="9" t="n">
        <v>7520</v>
      </c>
      <c r="G15" s="9" t="n">
        <v>7667</v>
      </c>
      <c r="H15" s="9" t="n">
        <v>6863</v>
      </c>
      <c r="I15" s="9" t="n">
        <v>6546</v>
      </c>
      <c r="J15" s="9" t="n">
        <v>7845</v>
      </c>
      <c r="K15" s="9" t="n">
        <v>6916</v>
      </c>
      <c r="L15" s="9" t="n">
        <v>8085</v>
      </c>
      <c r="M15" s="9" t="n">
        <v>7367</v>
      </c>
      <c r="N15" s="9" t="n">
        <v>7887</v>
      </c>
      <c r="O15" s="9" t="n">
        <v>7290</v>
      </c>
    </row>
    <row r="16" customFormat="false" ht="15" hidden="false" customHeight="false" outlineLevel="0" collapsed="false">
      <c r="A16" s="7" t="s">
        <v>33</v>
      </c>
      <c r="B16" s="8" t="s">
        <v>34</v>
      </c>
      <c r="C16" s="9" t="n">
        <v>6997</v>
      </c>
      <c r="D16" s="9" t="n">
        <v>6941</v>
      </c>
      <c r="E16" s="9" t="n">
        <v>6323</v>
      </c>
      <c r="F16" s="9" t="n">
        <v>6545</v>
      </c>
      <c r="G16" s="9" t="n">
        <v>6394</v>
      </c>
      <c r="H16" s="9" t="n">
        <v>6496</v>
      </c>
      <c r="I16" s="9" t="n">
        <v>6530</v>
      </c>
      <c r="J16" s="9" t="n">
        <v>6678</v>
      </c>
      <c r="K16" s="9" t="n">
        <v>6646</v>
      </c>
      <c r="L16" s="9" t="n">
        <v>6342</v>
      </c>
      <c r="M16" s="9" t="n">
        <v>6656</v>
      </c>
      <c r="N16" s="9" t="n">
        <v>6343</v>
      </c>
      <c r="O16" s="9" t="n">
        <v>6332</v>
      </c>
    </row>
    <row r="17" customFormat="false" ht="15" hidden="false" customHeight="false" outlineLevel="0" collapsed="false">
      <c r="A17" s="7" t="s">
        <v>35</v>
      </c>
      <c r="B17" s="8" t="s">
        <v>36</v>
      </c>
      <c r="C17" s="9" t="n">
        <v>4104</v>
      </c>
      <c r="D17" s="9" t="n">
        <v>4059</v>
      </c>
      <c r="E17" s="9" t="n">
        <v>3936</v>
      </c>
      <c r="F17" s="9" t="n">
        <v>4287</v>
      </c>
      <c r="G17" s="9" t="n">
        <v>4174</v>
      </c>
      <c r="H17" s="9" t="n">
        <v>3564</v>
      </c>
      <c r="I17" s="9" t="n">
        <v>3925</v>
      </c>
      <c r="J17" s="9" t="n">
        <v>4081</v>
      </c>
      <c r="K17" s="9" t="n">
        <v>4110</v>
      </c>
      <c r="L17" s="9" t="n">
        <v>4158</v>
      </c>
      <c r="M17" s="9" t="n">
        <v>4194</v>
      </c>
      <c r="N17" s="9" t="n">
        <v>3699</v>
      </c>
      <c r="O17" s="9" t="n">
        <v>3625</v>
      </c>
    </row>
    <row r="18" customFormat="false" ht="15" hidden="false" customHeight="false" outlineLevel="0" collapsed="false">
      <c r="A18" s="7"/>
      <c r="B18" s="8" t="s">
        <v>37</v>
      </c>
      <c r="C18" s="10" t="n">
        <f aca="false">C15+C16+C17</f>
        <v>18274</v>
      </c>
      <c r="D18" s="10" t="n">
        <f aca="false">D15+D16+D17</f>
        <v>18421</v>
      </c>
      <c r="E18" s="10" t="n">
        <f aca="false">E15+E16+E17</f>
        <v>17623</v>
      </c>
      <c r="F18" s="10" t="n">
        <f aca="false">F15+F16+F17</f>
        <v>18352</v>
      </c>
      <c r="G18" s="10" t="n">
        <f aca="false">G15+G16+G17</f>
        <v>18235</v>
      </c>
      <c r="H18" s="10" t="n">
        <f aca="false">H15+H16+H17</f>
        <v>16923</v>
      </c>
      <c r="I18" s="10" t="n">
        <f aca="false">I15+I16+I17</f>
        <v>17001</v>
      </c>
      <c r="J18" s="10" t="n">
        <f aca="false">J15+J16+J17</f>
        <v>18604</v>
      </c>
      <c r="K18" s="10" t="n">
        <f aca="false">K15+K16+K17</f>
        <v>17672</v>
      </c>
      <c r="L18" s="10" t="n">
        <f aca="false">L15+L16+L17</f>
        <v>18585</v>
      </c>
      <c r="M18" s="10" t="n">
        <f aca="false">M15+M16+M17</f>
        <v>18217</v>
      </c>
      <c r="N18" s="10" t="n">
        <f aca="false">N15+N16+N17</f>
        <v>17929</v>
      </c>
      <c r="O18" s="10" t="n">
        <f aca="false">O15+O16+O17</f>
        <v>17247</v>
      </c>
    </row>
    <row r="19" customFormat="false" ht="15" hidden="false" customHeight="false" outlineLevel="0" collapsed="false">
      <c r="A19" s="7"/>
      <c r="B19" s="8" t="s">
        <v>38</v>
      </c>
      <c r="C19" s="10" t="n">
        <f aca="false">C12-C18</f>
        <v>71630</v>
      </c>
      <c r="D19" s="10" t="n">
        <f aca="false">D12-D18</f>
        <v>66256</v>
      </c>
      <c r="E19" s="10" t="n">
        <f aca="false">E12-E18</f>
        <v>67787</v>
      </c>
      <c r="F19" s="10" t="n">
        <f aca="false">F12-F18</f>
        <v>66031</v>
      </c>
      <c r="G19" s="10" t="n">
        <f aca="false">G12-G18</f>
        <v>66193</v>
      </c>
      <c r="H19" s="10" t="n">
        <f aca="false">H12-H18</f>
        <v>70836</v>
      </c>
      <c r="I19" s="10" t="n">
        <f aca="false">I12-I18</f>
        <v>74715</v>
      </c>
      <c r="J19" s="10" t="n">
        <f aca="false">J12-J18</f>
        <v>70150</v>
      </c>
      <c r="K19" s="10" t="n">
        <f aca="false">K12-K18</f>
        <v>69165</v>
      </c>
      <c r="L19" s="10" t="n">
        <f aca="false">L12-L18</f>
        <v>72422</v>
      </c>
      <c r="M19" s="10" t="n">
        <f aca="false">M12-M18</f>
        <v>74010</v>
      </c>
      <c r="N19" s="10" t="n">
        <f aca="false">N12-N18</f>
        <v>70189</v>
      </c>
      <c r="O19" s="10" t="n">
        <f aca="false">O12-O18</f>
        <v>73964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2026-03-23T07:58:53Z</dcterms:created>
  <dc:creator>openpyxl</dc:creator>
  <dc:description/>
  <dc:language>en-US</dc:language>
  <cp:lastModifiedBy/>
  <dcterms:modified xsi:type="dcterms:W3CDTF">2026-03-23T07:58:53Z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